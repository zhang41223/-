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9210" windowWidth="9210" windowHeight="6570" tabRatio="500" activeTab="1"/>
  </bookViews>
  <sheets>
    <sheet name="用例统计" sheetId="1" r:id="rId1"/>
    <sheet name="缺失分析与优化记录" sheetId="2" r:id="rId2"/>
    <sheet name="用户信息与等级权益展示" sheetId="3" r:id="rId3"/>
    <sheet name="等级奖励与权益对比" sheetId="4" r:id="rId4"/>
    <sheet name="等级升级与经验获取逻辑" sheetId="5" r:id="rId5"/>
    <sheet name="经验记录列表与交互" sheetId="6" r:id="rId6"/>
    <sheet name="接口一致性与异常边界" sheetId="7" r:id="rId7"/>
    <sheet name="数据展示与体验安全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<sst xmlns="http://schemas.openxmlformats.org/spreadsheetml/2006/main" count="519" uniqueCount="359">
  <si>
    <t>用户等级测试用例统计 (V1.0)</t>
  </si>
  <si>
    <t>优先级定义标准:</t>
  </si>
  <si>
    <t>P1(阻断级)</t>
  </si>
  <si>
    <t>核心主流程不可用/资金安全风险/数据丢失。发版前必须100%通过</t>
  </si>
  <si>
    <t>P2(核心功能)</t>
  </si>
  <si>
    <t>主要功能正确性问题，有临时绕过方案。发版前必须通过</t>
  </si>
  <si>
    <t>P3(重要功能)</t>
  </si>
  <si>
    <t>非核心功能异常或边界处理不当。发版前应通过</t>
  </si>
  <si>
    <t>P4(一般功能)</t>
  </si>
  <si>
    <t>UI展示问题/文案错误/非关键交互异常。发版后修复</t>
  </si>
  <si>
    <t>P5(优化建议)</t>
  </si>
  <si>
    <t>性能优化/样式微调/兼容性/无障碍。迭代优化</t>
  </si>
  <si>
    <t>优化说明:</t>
  </si>
  <si>
    <t>• V1.1重构版: 合并10个用例Sheet为6个(相似模块合并)，列结构统一为9列(去掉自动化建议和回归标记)。</t>
  </si>
  <si>
    <t>• 合并规则: 用户信息+权益卡片/奖励+对比/经验记录+搜索筛选/接口+异常边界。</t>
  </si>
  <si>
    <t>• 统计页使用Excel公式按各用例Sheet动态计算，避免手写聚合数值。</t>
  </si>
  <si>
    <t>• 资金链路全覆盖: 经验发放(UL-LVL-001)+回退(UL-LVL-005)+缓存(UL-EXC-003)。</t>
  </si>
  <si>
    <t>• 已确认9条业务规则: 等级名称/不回收奖励/实际成交价/中间等级同发/缓存3秒/保留20条/纯列表/脱敏分级/无导出。</t>
  </si>
  <si>
    <t>模块</t>
  </si>
  <si>
    <t>用例数</t>
  </si>
  <si>
    <t>P1</t>
  </si>
  <si>
    <t>P2</t>
  </si>
  <si>
    <t>P3</t>
  </si>
  <si>
    <t>P4</t>
  </si>
  <si>
    <t>P5</t>
  </si>
  <si>
    <t>用户信息与等级权益展示</t>
  </si>
  <si>
    <t>等级奖励与权益对比</t>
  </si>
  <si>
    <t>等级升级与经验获取逻辑</t>
  </si>
  <si>
    <t>经验记录列表与交互</t>
  </si>
  <si>
    <t>接口一致性与异常边界</t>
  </si>
  <si>
    <t>数据展示与体验安全</t>
  </si>
  <si>
    <t>合计</t>
  </si>
  <si>
    <t>用户等级测试 - 缺失分析与优化记录</t>
  </si>
  <si>
    <t>编号</t>
  </si>
  <si>
    <t>缺失/优化项</t>
  </si>
  <si>
    <t>原因分析</t>
  </si>
  <si>
    <t>处理措施</t>
  </si>
  <si>
    <t>严重度</t>
  </si>
  <si>
    <t>状态</t>
  </si>
  <si>
    <t>G001</t>
  </si>
  <si>
    <t>经验值进度条与下一级提示数值矛盾</t>
  </si>
  <si>
    <t>文档显示当前经验8,500/10,000(85%)，但提示「距下一级还需41,500经验」，两者矛盾。疑似进度条总额应为50,000而非10,000，或提示计算逻辑错误</t>
  </si>
  <si>
    <t>需产品确认升级阈值为10,000还是50,000，统一进度条总额口径和提示文案计算逻辑</t>
  </si>
  <si>
    <t>高</t>
  </si>
  <si>
    <t>待确认</t>
  </si>
  <si>
    <t>此为案例显示错误，暂不考虑阈值，先假设阈值大小</t>
  </si>
  <si>
    <t>G002</t>
  </si>
  <si>
    <t>等级名称与Lv编号映射关系未明确</t>
  </si>
  <si>
    <t>文档提及「普通/青铜」「白银-黄金-钻石」和「Lv.1-Lv.5」，但未明确5个等级的完整名称映射(如Lv.1=普通?Lv.2=青铜?)</t>
  </si>
  <si>
    <t>需产品提供完整等级名称映射表，确认Lv.1~Lv.5各自对应名称</t>
  </si>
  <si>
    <t>中</t>
  </si>
  <si>
    <t>1.普通2.青铜3.白银4.黄金5.钻石</t>
  </si>
  <si>
    <t>G003</t>
  </si>
  <si>
    <t>降级后已领取奖励处理规则未定义</t>
  </si>
  <si>
    <t>文档未说明用户降级后，已领取的高等级奖励(如黄金满减券)是回收还是保留</t>
  </si>
  <si>
    <t>需产品定义降级奖励处理规则: 回收/保留/标记失效</t>
  </si>
  <si>
    <t>不回收奖励，持续权益变化</t>
  </si>
  <si>
    <t>G004</t>
  </si>
  <si>
    <t>经验获取计算规则未量化</t>
  </si>
  <si>
    <t>文档提及购买/租赁账号获取经验，但未说明经验=订单金额×比例的具体计算公式和比例值</t>
  </si>
  <si>
    <t>需产品提供经验计算规则: 各业务类型的经验比例和计算公式</t>
  </si>
  <si>
    <t>商品的实际成交价为准（完成）</t>
  </si>
  <si>
    <t>G005</t>
  </si>
  <si>
    <t>跨2级升级的奖励发放策略未明确</t>
  </si>
  <si>
    <t>一次性获得大量经验跨越2个等级时，是否发放2个等级的奖励未明确</t>
  </si>
  <si>
    <t>需产品确认跨级升级时是否补发中间等级奖励</t>
  </si>
  <si>
    <t>低</t>
  </si>
  <si>
    <t>中间等级一同发放</t>
  </si>
  <si>
    <t>G006</t>
  </si>
  <si>
    <t>经验值缓存策略未定义</t>
  </si>
  <si>
    <t>等级/经验/权益数据是否走缓存、缓存TTL多长、升级后缓存何时失效未明确</t>
  </si>
  <si>
    <t>需后端确认缓存策略: 是否缓存/缓存key/TTL/失效机制</t>
  </si>
  <si>
    <t>不缓存直接入库（或缓存3秒），更改等级/经验/权益数据</t>
  </si>
  <si>
    <t>G007</t>
  </si>
  <si>
    <t>经验记录保留时长未定义</t>
  </si>
  <si>
    <t>文档提到「仅展示最近20条」，但未定义经验记录在数据库的保留时长(永久/1年/3年)</t>
  </si>
  <si>
    <t>需产品/后端确认经验记录保留策略及超出后的归档/清理逻辑</t>
  </si>
  <si>
    <t>保留最近20条永久，对之后数据清理或者30条之后的清理</t>
  </si>
  <si>
    <t>G008</t>
  </si>
  <si>
    <t>经验记录搜索/筛选功能是否存在未明确</t>
  </si>
  <si>
    <t>文档未明确经验记录列表是否有搜索框和筛选功能，自查清单要求覆盖搜索/筛选组合逻辑</t>
  </si>
  <si>
    <t>需产品确认经验记录列表是否有搜索(按业务类型/来源)和筛选功能，如有则UL-SRH-001~005适用</t>
  </si>
  <si>
    <t>只是单纯的列表功能，仅供查看</t>
  </si>
  <si>
    <t>G009</t>
  </si>
  <si>
    <t>敏感数据脱敏规则未定义</t>
  </si>
  <si>
    <t>文档未说明手机号/真实姓名等敏感数据在不同角色(普通用户/客服/管理员)下的脱敏规则</t>
  </si>
  <si>
    <t>需产品/安全确认各角色可见数据范围和脱敏规则，UL-DSP-003已覆盖待规则确认后细化</t>
  </si>
  <si>
    <t>用户看不到手机号/真实姓名等敏感数据，客服仅等看到用户手机号，
管理员可以看到全部信息</t>
  </si>
  <si>
    <t>G010</t>
  </si>
  <si>
    <t>导出功能是否存在未明确</t>
  </si>
  <si>
    <t>文档未提及会员等级页面是否有导出功能，自查清单要求如有导出需验证数据安全性</t>
  </si>
  <si>
    <t>需产品确认是否有导出按钮，如有则UL-DSP-005适用</t>
  </si>
  <si>
    <t>会员等级页面无导出功能</t>
  </si>
  <si>
    <t>用户等级测试 - 用户信息与等级权益展示</t>
  </si>
  <si>
    <t>用例编号</t>
  </si>
  <si>
    <t>测试项</t>
  </si>
  <si>
    <t>优先级</t>
  </si>
  <si>
    <t>归属版本</t>
  </si>
  <si>
    <t>前置条件</t>
  </si>
  <si>
    <t>输入/执行步骤</t>
  </si>
  <si>
    <t>预计结果</t>
  </si>
  <si>
    <t>实际结果</t>
  </si>
  <si>
    <t>是否通过</t>
  </si>
  <si>
    <t>UL-INFO-001</t>
  </si>
  <si>
    <t>用户基本信息与当前等级标识展示</t>
  </si>
  <si>
    <t>V1.0</t>
  </si>
  <si>
    <t>1. 用户已登录且等级为Lv.4黄金会员
2. 进入会员等级页面</t>
  </si>
  <si>
    <t>1. 查看头部区域用户昵称（谷静波2）与ID（1770108162）
2. 查看当前等级标签「Lv.4 黄金会员」
3. 核对昵称和ID与数据库user表记录是否一致
4. 验证等级标签颜色/图标是否与设计稿一致</t>
  </si>
  <si>
    <t>1. 昵称和ID与数据库记录完全一致
2. 等级标签显示为「Lv.4 黄金会员」，颜色为黄金色主题
3. 等级图标正确渲染，无变形/缺失
4. 后端参数校验(必填/格式)确保ID为纯数字</t>
  </si>
  <si>
    <t>UL-INFO-002</t>
  </si>
  <si>
    <t>经验值进度条数值与视觉比例校验</t>
  </si>
  <si>
    <t>1. 用户当前经验值为8,500
2. 当前等级经验上限为10,000
3. 进入会员等级页面</t>
  </si>
  <si>
    <t>1. 查看进度条数值显示「8,500 / 10,000」
2. 计算进度比例: 8500/10000 = 85%
3. 测量进度条实际填充长度占比
4. 验证进度条颜色与等级主题色一致</t>
  </si>
  <si>
    <t>1. 数值显示准确，格式为「当前/总额」
2. 进度条填充长度约为85%（允许±2%误差）
3. 进度条颜色与黄金等级主题色一致
4. 进度条动画流畅，无卡顿/闪烁</t>
  </si>
  <si>
    <t>UL-INFO-003</t>
  </si>
  <si>
    <t>下一级提示文案计算逻辑验证（UI显示矛盾排查）</t>
  </si>
  <si>
    <t>1. 用户当前经验8,500，等级Lv.4黄金
2. 页面显示「距下一级还需41,500经验」
3. 注意: 8500/10000接近满级但提示还需41500，疑似总额为50,000或显示Bug</t>
  </si>
  <si>
    <t>1. 查看下一级提示文案的具体数值
2. 核对后端等级配置表中Lv.4→Lv.5的升级阈值
3. 若阈值为50,000: 验证 50000-8500=41500 计算正确
4. 若阈值为10,000: 确认进度条总额显示有误(应显示50,000)
5. 验证文案格式: 「距下一级还需 {差额} 经验」</t>
  </si>
  <si>
    <t>1. 提示文案中的差额数值与后端配置计算结果一致
2. 若升级阈值为50,000: 文案显示41500正确，但进度条总额应显示50000而非10000
3. 若升级阈值为10,000: 文案显示41500错误，应显示1500
4. 需确认进度条「总额」是当前等级上限还是下一级阈值，统一口径</t>
  </si>
  <si>
    <t>UL-INFO-004</t>
  </si>
  <si>
    <t>等级图标流转状态（白银-黄金-钻石三态）</t>
  </si>
  <si>
    <t>1. 准备3个不同等级账号: Lv.3白银、Lv.4黄金、Lv.5钻石
2. 分别进入会员等级页面</t>
  </si>
  <si>
    <t>1. Lv.3账号: 查看白银图标是否选中/高亮，黄金钻石为未选中态
2. Lv.4账号: 查看黄金图标是否选中/放大/高亮，白银钻石为灰色
3. Lv.5账号: 查看钻石图标是否选中/高亮
4. 验证图标间过渡动画效果</t>
  </si>
  <si>
    <t>1. 当前等级图标处于选中态(放大/高亮/彩色)
2. 非当前等级图标为未选中态(缩小/灰色)
3. 三个图标横向排列，间距均匀
4. 状态切换有过渡动画，无闪烁</t>
  </si>
  <si>
    <t>UL-INFO-005</t>
  </si>
  <si>
    <t>不同等级用户头部展示差异化验证</t>
  </si>
  <si>
    <t>1. 准备5个账号: Lv.1普通 ~ Lv.5钻石
2. 分别登录进入会员等级页面</t>
  </si>
  <si>
    <t>1. 依次查看每个等级的头部展示
2. 核对等级名称/颜色/图标是否随等级变化
3. 验证经验值进度条在不同等级下的数值正确
4. 验证最低等级(Lv.1)是否有「下一级」提示</t>
  </si>
  <si>
    <t>1. 各等级头部展示与等级配置一致
2. 等级颜色梯度: 普通(灰)→青铜(棕)→白银(银)→黄金(金)→钻石(蓝紫)
3. Lv.1用户进度条从0开始，有下一级提示
4. Lv.5(最高级)显示「已达最高等级」，无下一级提示</t>
  </si>
  <si>
    <t>UL-BNF-001</t>
  </si>
  <si>
    <t>6个权益卡片展示完整性（图标/文案/样式）</t>
  </si>
  <si>
    <t>1. 用户等级Lv.4黄金会员
2. 进入会员等级页面
3. 定位当前等级权益卡片区域</t>
  </si>
  <si>
    <t>1. 统计权益卡片数量，预期6个
2. 逐一核对卡片: 购买折扣/租赁折扣/代售费折扣/租金补贴/分销加成/免押金
3. 验证每个卡片的图标是否正确加载(无broken image)
4. 验证卡片背景色/字体大小/圆角等样式是否符合设计规范
5. 验证卡片间距/对齐方式</t>
  </si>
  <si>
    <t>1. 展示6个权益卡片，无遗漏/多余
2. 每个卡片图标正确显示，文案清晰
3. 卡片样式统一(背景色/字体/圆角一致)
4. 卡片间距均匀，无错位/重叠</t>
  </si>
  <si>
    <t>UL-BNF-002</t>
  </si>
  <si>
    <t>折扣类权益数据准确性（购买/租赁/代售费折扣）</t>
  </si>
  <si>
    <t>1. 用户等级Lv.4黄金会员
2. 后端等级配置: 黄金=9.8折
3. 进入会员等级页面</t>
  </si>
  <si>
    <t>1. 查看购买折扣卡片数值
2. 查看租赁折扣卡片数值
3. 查看代售费折扣卡片数值
4. 核对3个折扣值与后端level_benefit配置表是否一致
5. 验证折扣显示格式(如「9.8折」而非「0.98」或「98%」)</t>
  </si>
  <si>
    <t>1. 三个折扣卡片均显示「9.8折」
2. 数值与后端配置完全一致
3. 格式统一为「X.X折」
4. 后端参数校验(必填/格式/范围)确保折扣值在0-10之间</t>
  </si>
  <si>
    <t>UL-BNF-003</t>
  </si>
  <si>
    <t>百分比类权益数据准确性（租金补贴/分销加成）</t>
  </si>
  <si>
    <t>1. 用户等级Lv.4黄金会员
2. 后端配置: 租金补贴+2%, 分销加成+1.5%
3. 进入会员等级页面</t>
  </si>
  <si>
    <t>1. 查看租金补贴卡片数值
2. 查看分销加成卡片数值
3. 核对与后端配置是否一致
4. 验证显示格式(如「+2%」而非「0.02」)
5. 验证正号「+」是否显示</t>
  </si>
  <si>
    <t>1. 租金补贴显示「+2%」
2. 分销加成显示「+1.5%」
3. 数值与后端配置完全一致
4. 格式统一为「+X%」或「+X.X%」</t>
  </si>
  <si>
    <t>UL-BNF-004</t>
  </si>
  <si>
    <t>开关类权益状态（免押金开启/关闭）</t>
  </si>
  <si>
    <t>1. 准备2个账号: Lv.4黄金(免押金开启)和Lv.1普通(免押金关闭)
2. 分别进入会员等级页面</t>
  </si>
  <si>
    <t>1. Lv.4账号: 查看免押金卡片状态
2. 验证是否显示为「已开启」/勾选/高亮状态
3. Lv.1账号: 查看免押金卡片状态
4. 验证是否显示为「未开启」/灰色/禁用状态
5. 核对后端benefit_switch配置</t>
  </si>
  <si>
    <t>1. Lv.4黄金: 免押金显示为开启/勾选状态
2. Lv.1普通: 免押金显示为关闭/灰色状态
3. 状态与后端配置一致
4. 开关图标清晰可辨</t>
  </si>
  <si>
    <t>UL-BNF-005</t>
  </si>
  <si>
    <t>不同等级权益卡片内容差异化验证</t>
  </si>
  <si>
    <t>1. 准备Lv.3白银和Lv.5钻石账号
2. 分别进入会员等级页面
3. 对比权益卡片数值</t>
  </si>
  <si>
    <t>1. Lv.3白银: 查看6个卡片数值(预期9.9折/+1%/+1%/免押金关)
2. Lv.5钻石: 查看6个卡片数值(预期9.5折/+3%/+2%/免押金开)
3. 与Lv.4黄金对比，验证数值递增逻辑
4. 验证权益项是否随等级提升而增强</t>
  </si>
  <si>
    <t>1. 折扣: 白银9.9折 &lt; 黄金9.8折 &lt; 钻石9.5折(折扣力度递增)
2. 补贴: 白银+1% &lt; 黄金+2% &lt; 钻石+3%
3. 免押金: 白银关闭, 黄金开启, 钻石开启
4. 权益随等级严格递增，无倒挂/跳级</t>
  </si>
  <si>
    <t>用户等级测试 - 等级奖励与权益对比</t>
  </si>
  <si>
    <t>UL-RWD-001</t>
  </si>
  <si>
    <t>奖励列表完整性与描述文案校验</t>
  </si>
  <si>
    <t>1. 用户等级Lv.4黄金会员
2. 进入会员等级页面
3. 定位等级奖励模块</t>
  </si>
  <si>
    <t>1. 查看奖励列表项数量
2. 核对奖励内容: 黄金满减券50元(满200减50)、积分奖励100点
3. 验证副标题文案: 「满200减50...」「首次升级...」是否清晰
4. 验证奖励图标/样式是否统一
5. 核对与后端level_reward配置表是否一致</t>
  </si>
  <si>
    <t>1. 展示该等级全部奖励，无遗漏
2. 奖励名称/金额/描述文案正确
3. 副标题文案清晰，无截断/乱码
4. 奖励图标正确加载，样式统一</t>
  </si>
  <si>
    <t>UL-RWD-002</t>
  </si>
  <si>
    <t>已领取状态逻辑（不可重复领取）</t>
  </si>
  <si>
    <t>1. 用户已领取黄金等级全部奖励
2. 进入会员等级页面
3. 奖励状态为已领取</t>
  </si>
  <si>
    <t>1. 查看已领取奖励的按钮/标签状态
2. 验证显示为「已领取」标签
3. 点击「已领取」按钮，验证是否不可再次点击
4. 尝试通过接口直接调用领取接口(user_level/reward/claim)
5. 验证后端状态机校验(状态流转合法性)拒绝重复领取</t>
  </si>
  <si>
    <t>1. 已领取奖励显示「已领取」标签，按钮禁用/置灰
2. 点击无响应，不触发领取接口
3. 直接调用接口返回错误「奖励已领取」
4. 后端状态机校验拒绝重复领取</t>
  </si>
  <si>
    <t>UL-RWD-003</t>
  </si>
  <si>
    <t>未领取状态逻辑（立即领取+接口触发+状态更新）</t>
  </si>
  <si>
    <t>1. 用户刚升级到Lv.4黄金，奖励未领取
2. 进入会员等级页面</t>
  </si>
  <si>
    <t>1. 查看未领取奖励的按钮状态(预期「立即领取」)
2. 点击「立即领取」按钮
3. 验证是否触发领取接口(user_level/reward/claim)
4. 查看接口返回(预期成功+奖励发放)
5. 验证页面状态是否实时更新为「已领取」
6. 验证奖励实际到账(券包/积分账户)</t>
  </si>
  <si>
    <t>1. 未领取奖励显示「立即领取」按钮
2. 点击后触发领取接口，请求参数正确
3. 接口返回成功，包含奖励发放确认
4. 页面即时更新为「已领取」状态
5. 奖励实际到账(满减券入券包, 积分增加)</t>
  </si>
  <si>
    <t>UL-RWD-004</t>
  </si>
  <si>
    <t>自动发放逻辑验证（无需手动操作即显示已领取）</t>
  </si>
  <si>
    <t>1. 后端配置某奖励为「自动发放」类型
2. 用户升级到对应等级
3. 进入会员等级页面</t>
  </si>
  <si>
    <t>1. 升级后直接进入会员等级页面
2. 查看自动发放类奖励的状态(预期已为「已领取」)
3. 验证无需手动点击「立即领取」
4. 核对后端reward_distribute_log是否有自动发放记录
5. 验证奖励实际到账</t>
  </si>
  <si>
    <t>1. 自动发放奖励升级后即显示「已领取」
2. 无「立即领取」按钮出现
3. 后端有自动发放日志记录
4. 奖励实际到账
5. 后端状态机校验记录自动发放流转</t>
  </si>
  <si>
    <t>UL-RWD-005</t>
  </si>
  <si>
    <t>奖励领取跨等级差异化验证</t>
  </si>
  <si>
    <t>1. 准备Lv.3白银、Lv.4黄金、Lv.5钻石账号
2. 分别进入会员等级页面查看奖励</t>
  </si>
  <si>
    <t>1. Lv.3白银: 查看奖励列表(预期与白银等级配置一致)
2. Lv.4黄金: 查看奖励列表(预期满减券50+积分100)
3. Lv.5钻石: 查看奖励列表(预期更高面额奖励)
4. 对比三个等级奖励是否递增
5. 验证各等级奖励文案中的面额/数值正确</t>
  </si>
  <si>
    <t>1. 各等级奖励列表与对应配置一致
2. 奖励面额随等级递增(如白银30元&lt;黄金50元&lt;钻石100元)
3. 奖励类型可能不同(券/积分/实物)
4. 文案中的数值与实际配置一致</t>
  </si>
  <si>
    <t>UL-CMP-001</t>
  </si>
  <si>
    <t>表格数据完整性（Lv.1-Lv.5全行加载）</t>
  </si>
  <si>
    <t>1. 用户已登录任意等级
2. 进入会员等级页面
3. 定位全部等级权益对比表</t>
  </si>
  <si>
    <t>1. 统计表格行数(不含表头)，预期5行(Lv.1~Lv.5)
2. 核对每行的等级名称: 普通/青铜/白银/黄金/钻石
3. 核对每行的权益列: 购买折扣/租赁折扣/代售费折扣/租金补贴/分销加成/免押金
4. 验证所有单元格数据不为空(低等级可为「-」或「无」)
5. 核对与后端level_config配置表全量数据一致</t>
  </si>
  <si>
    <t>1. 表格展示5行数据，Lv.1~Lv.5完整
2. 等级名称正确，与配置一致
3. 所有权益列均有数据(数值或「-」)
4. 与后端配置表完全一致
5. 后端参数校验(必填/格式/范围)确保配置完整</t>
  </si>
  <si>
    <t>UL-CMP-002</t>
  </si>
  <si>
    <t>当前等级行高亮与标签标记</t>
  </si>
  <si>
    <t>1. 用户等级Lv.4黄金会员
2. 进入会员等级页面
3. 定位对比表</t>
  </si>
  <si>
    <t>1. 查看Lv.4黄金所在行
2. 验证该行是否有特殊背景色高亮
3. 验证是否标记「当前」标签
4. 查看其他行是否无高亮
5. 切换不同等级账号验证高亮行随之变化</t>
  </si>
  <si>
    <t>1. 当前等级(Lv.4)行有特殊背景色高亮
2. 行首/行尾显示「当前」标签
3. 非当前等级行无高亮
4. 切换账号后高亮行正确跟随
5. 高亮样式与设计规范一致</t>
  </si>
  <si>
    <t>UL-CMP-003</t>
  </si>
  <si>
    <t>权益数值递增逻辑验证（折扣/补贴随等级递增）</t>
  </si>
  <si>
    <t>1. 进入会员等级页面
2. 定位对比表
3. 准备后端level_config配置数据</t>
  </si>
  <si>
    <t>1. 查看购买折扣列: Lv.1~Lv.5数值(预期9.9→9.8→9.5递增)
2. 查看租金补贴列: Lv.1~Lv.5数值(预期1%→2%→3%递增)
3. 查看分销加成列: 验证递增逻辑
4. 验证免押金列: 低等级无, 高等级有
5. 核对递增规则与产品配置一致
6. 验证无倒挂(高等级权益低于低等级)</t>
  </si>
  <si>
    <t>1. 折扣: 9.9折(Lv.3白银) &gt; 9.8折(Lv.4黄金) &gt; 9.5折(Lv.5钻石) → 折扣力度递增
2. 补贴: 1%(白银) &lt; 2%(黄金) &lt; 3%(钻石) → 递增
3. 免押金: Lv.1-2无 → Lv.3-5有 → 递增
4. 无倒挂现象
5. 与产品配置表完全一致</t>
  </si>
  <si>
    <t>UL-CMP-004</t>
  </si>
  <si>
    <t>低等级无权益显示（无折扣/无补贴的占位）</t>
  </si>
  <si>
    <t>1. 进入会员等级页面
2. 定位对比表
3. 查看Lv.1普通和Lv.2青航行</t>
  </si>
  <si>
    <t>1. 查看Lv.1行折扣列: 预期显示「-」或「无折扣」
2. 查看Lv.1行补贴列: 预期显示「-」或「0%」
3. 查看Lv.1行免押金: 预期无图标或灰色
4. 查看Lv.2行同理
5. 验证占位文案统一(不混用「-」「无」「0」)</t>
  </si>
  <si>
    <t>1. 低等级无权益项显示「-」(统一格式)
2. 不显示「0折」「0%」等歧义文案
3. 免押金无图标或为灰色禁用态
4. 占位文案全列统一</t>
  </si>
  <si>
    <t>UL-CMP-005</t>
  </si>
  <si>
    <t>免押金图标差异化（低等级无/高等级绿色对勾）</t>
  </si>
  <si>
    <t>1. 进入会员等级页面
2. 定位对比表免押金列
3. 查看所有5行</t>
  </si>
  <si>
    <t>1. Lv.1普通: 验证无图标或灰色叉号
2. Lv.2青铜: 验证无图标或灰色叉号
3. Lv.3白银: 验证无图标或灰色叉号
4. Lv.4黄金: 验证绿色对勾图标
5. Lv.5钻石: 验证绿色对勾图标
6. 核对后端benefit_switch配置</t>
  </si>
  <si>
    <t>1. Lv.1-3: 无免押金图标(或灰色叉号)
2. Lv.4-5: 绿色对勾图标
3. 图标大小/位置统一
4. 与后端配置一致</t>
  </si>
  <si>
    <t>用户等级测试 - 等级升级与经验获取逻辑</t>
  </si>
  <si>
    <t>UL-LVL-001</t>
  </si>
  <si>
    <t>消费获取经验触发（购买/租赁账号后经验增加）</t>
  </si>
  <si>
    <t>1. 用户当前经验8,500, 等级Lv.4
2. 完成一笔购买账号订单(订单金额触发+300经验)
3. 完成一笔租赁账号订单(触发+200经验)
4. 进入会员等级页面</t>
  </si>
  <si>
    <t>1. 完成购买订单后查看经验值(预期8,500+300=8,800)
2. 查看经验记录新增「购买账号 +300」
3. 完成租赁订单后查看经验值(预期8,800+200=9,000)
4. 查看经验记录新增「租赁账号 +200」
5. 核对后端经验计算规则: 以商品实际成交价为准(非订单标价)
6. 验证退款后经验是否回退
7. 验证部分退款时经验按比例回退</t>
  </si>
  <si>
    <t>1. 购买订单完成: 经验+300，记录正确
2. 租赁订单完成: 经验+200，记录正确
3. 已确认规则: 经验值以商品实际成交价为准(非订单标价)
4. 经验记录来源为「消费获取」
5. 退款后经验同步回退(参照资金链路回退规则)
6. 部分退款按比例回退经验
7. 后端状态机校验确保经验发放与订单状态联动</t>
  </si>
  <si>
    <t>UL-LVL-002</t>
  </si>
  <si>
    <t>系统操作经验（系统调整加减经验）</t>
  </si>
  <si>
    <t>1. 后端管理员通过系统操作给用户调整经验(+500或-200)
2. 用户进入会员等级页面</t>
  </si>
  <si>
    <t>1. 系统加经验(+500): 查看经验值是否增加500
2. 系统减经验(-200): 查看经验值是否减少200
3. 查看经验记录来源为「系统操作」
4. 查看业务类型为「系统调整」
5. 验证操作日志记录(谁/何时/加减多少)
6. 验证减经验后是否触发降级</t>
  </si>
  <si>
    <t>1. 系统加经验: 经验值正确增加，记录来源为系统操作
2. 系统减经验: 经验值正确减少，记录显示负数红色
3. 操作日志完整(操作人/时间/金额)
4. 若减少后低于当前等级阈值: 触发降级
5. 后端权限校验(RBAC角色校验)仅管理员可操作</t>
  </si>
  <si>
    <t>UL-LVL-003</t>
  </si>
  <si>
    <t>等级升级触发条件（经验达阈值自动升级+权益变更）</t>
  </si>
  <si>
    <t>1. 用户当前经验9,900, 等级Lv.4黄金
2. 升级阈值10,000(Lv.4→Lv.5钻石)
3. 完成一笔订单获得+200经验(总计10,100)</t>
  </si>
  <si>
    <t>1. 订单完成前: 等级Lv.4, 经验9,900
2. 订单完成后: 经验变为10,100
3. 验证等级是否自动升级为Lv.5钻石
4. 验证升级是否实时(非定时任务)
5. 查看权益卡片是否更新为钻石权益(9.5折/+3%/免押金)
6. 查看等级奖励是否出现钻石级奖励
7. 查看对比表中当前等级行是否变为Lv.5
8. 核对后端升级触发逻辑</t>
  </si>
  <si>
    <t>1. 经验达到阈值(10,000)后立即自动升级为Lv.5
2. 升级为实时触发(非定时批量)
3. 权益卡片即时更新为钻石权益
4. 等级奖励出现钻石级奖励(可领取)
5. 对比表当前行变为Lv.5并高亮
6. 后端状态机校验: Lv.4→Lv.5流转合法
7. 升级日志记录(升级时间/前后等级/触发经验)
8. 后端唯一性校验(唯一索引)防止重复升级</t>
  </si>
  <si>
    <t>UL-LVL-004</t>
  </si>
  <si>
    <t>升级后权益与奖励即时生效验证</t>
  </si>
  <si>
    <t>1. 用户刚从Lv.3白银升级到Lv.4黄金
2. 升级瞬间进入会员等级页面
3. 同时进行一笔购买操作验证折扣</t>
  </si>
  <si>
    <t>1. 升级后查看权益卡片: 验证折扣从9.9变为9.8
2. 升级后查看等级奖励: 验证出现黄金级奖励
3. 升级后立即购买账号: 验证享受9.8折优惠
4. 升级后查看对比表: 验证当前行高亮在Lv.4
5. 升级后查看经验记录: 验证无异常
6. 验证权益生效无延迟(非缓存滞后)</t>
  </si>
  <si>
    <t>1. 权益卡片即时更新为黄金权益(9.8折/+2%/免押金开)
2. 等级奖励即时出现黄金级奖励
3. 购买操作即时享受9.8折(非9.9折)
4. 对比表高亮行即时变为Lv.4
5. 权益生效无缓存延迟
6. 后端权益读取基于最新等级，无脏读
7. 后端并发校验(乐观锁)防止升级与下单并发冲突</t>
  </si>
  <si>
    <t>UL-LVL-005</t>
  </si>
  <si>
    <t>多等级连续跨越与降级场景</t>
  </si>
  <si>
    <t>1. 场景A: 用户Lv.3经验9,950, 一次性获得+10,100经验(跨越Lv.4直接到Lv.5)
2. 场景B: 用户Lv.4经验10,100, 退款导致经验-200(降回Lv.3)
3. 进入会员等级页面</t>
  </si>
  <si>
    <t>1. 场景A(跨2级): 验证等级是否直接升到Lv.5
2. 场景A: 验证是否发放Lv.4和Lv.5两级奖励(中间等级一同发放)
3. 场景A: 验证权益为Lv.5钻石权益
4. 场景B(降级): 退款后经验9,900 &lt; Lv.4阈值
5. 场景B: 验证等级是否降级为Lv.3白银
6. 场景B: 验证持续权益是否回退为白银权益
7. 场景B: 验证已领取的Lv.4奖励不回收(已确认规则)
8. 核对后端升降级逻辑</t>
  </si>
  <si>
    <t>1. 已确认规则: 跨2级时中间等级一同发放奖励，直升至Lv.5并发放Lv.4+Lv.5两级奖励
2. 降级: 经验低于阈值时等级降级为Lv.3白银
3. 已确认规则: 降级后不回收已领取奖励，持续权益变化(权益回退为白银但奖励保留)
4. 后端状态机校验确保升降级流转合法
5. 后端并发校验(乐观锁)防止并发升级/降级冲突
6. 降级日志记录完整</t>
  </si>
  <si>
    <t>用户等级测试 - 经验记录列表与交互</t>
  </si>
  <si>
    <t>UL-EXP-001</t>
  </si>
  <si>
    <t>顶部提示条文案与关闭按钮功能</t>
  </si>
  <si>
    <t>1. 用户有经验记录
2. 进入会员等级页面
3. 定位经验记录列表顶部</t>
  </si>
  <si>
    <t>1. 查看黄色提示条是否显示
2. 核对文案内容(预期: 来源说明如「经验来源: 消费获取/系统操作」)
3. 点击关闭按钮
4. 刷新页面验证关闭状态是否持久化
5. 验证关闭后再次进入是否仍为关闭</t>
  </si>
  <si>
    <t>1. 黄色提示条正确显示，文案清晰
2. 关闭按钮点击后提示条消失
3. 刷新后保持关闭状态(localStorage/后端记录)
4. 文案与设计稿一致</t>
  </si>
  <si>
    <t>UL-EXP-002</t>
  </si>
  <si>
    <t>列表字段完整性校验（来源/业务类型/加减/变更后经验）</t>
  </si>
  <si>
    <t>1. 用户有多条经验记录(含消费获取和系统操作)
2. 进入会员等级页面
3. 定位经验记录列表</t>
  </si>
  <si>
    <t>1. 查看列表每行字段: 来源/业务类型/加减情况/变更后经验/时间
2. 核对「来源」字段值: 「消费获取」或「系统操作」
3. 核对「业务类型」字段值: 「购买账号」/「租赁账号」/「系统调整」
4. 核对「加减情况」: 正数(如+300)或负数
5. 核对「变更后经验」: 余额数值
6. 核对「时间」: 格式统一
7. 与后端experience_log表逐条核对</t>
  </si>
  <si>
    <t>1. 所有字段完整展示，无遗漏
2. 来源值仅「消费获取」或「系统操作」
3. 业务类型值与后端枚举一致
4. 加减情况正负数正确
5. 变更后经验为累计余额
6. 时间格式统一(如YYYY-MM-DD HH:mm)
7. 与数据库记录完全一致</t>
  </si>
  <si>
    <t>UL-EXP-003</t>
  </si>
  <si>
    <t>经验加减颜色区分与排序逻辑（正绿负红/时间倒序）</t>
  </si>
  <si>
    <t>1. 用户有正数和负数经验记录
2. 记录时间跨度至少3天
3. 进入会员等级页面</t>
  </si>
  <si>
    <t>1. 查看正数记录(如+300)的文字颜色
2. 查看负数记录(如-100)的文字颜色
3. 查看列表排列顺序
4. 核对最新记录是否在最上方
5. 验证时间戳为后端created_at字段
6. 核对排序SQL: ORDER BY created_at DESC</t>
  </si>
  <si>
    <t>1. 正数经验显示为绿色
2. 负数经验显示为红色
3. 列表严格按时间倒序(最新在最上方)
4. 同一秒内的记录顺序与插入顺序一致
5. 无乱序/错位</t>
  </si>
  <si>
    <t>UL-EXP-004</t>
  </si>
  <si>
    <t>变更后经验余额计算连续性验证</t>
  </si>
  <si>
    <t>1. 用户有至少5条连续经验记录
2. 进入会员等级页面
3. 获取后端experience_log表完整数据</t>
  </si>
  <si>
    <t>1. 记录列表第一条(最新)的「变更后经验」应等于用户当前经验值
2. 逆序遍历: 上一行变更后经验 = 当前行变更后经验 - 当前行加减值
3. 示例验证: 若上一行8200, 当前行+300, 则当前行变更后=8500
4. 验证首条记录(最旧)的变更后经验 = 初始经验 + 首条加减值
5. 核对后端计算逻辑: 变更后 = 前次余额 + 本次变化
6. 模拟并发插入两条记录，验证余额无错乱</t>
  </si>
  <si>
    <t>1. 变更后经验值逐行连续，无跳变
2. 每行: 变更后 = 前行变更后 ± 当前行加减值
3. 最新记录的变更后经验 = 当前用户经验值
4. 并发插入时后端并发校验(乐观锁/分布式锁)保证余额一致
5. 无负余额(经验值不为负)</t>
  </si>
  <si>
    <t>UL-EXP-005</t>
  </si>
  <si>
    <t>分页/加载更多（20条限制+保留策略+翻页功能）</t>
  </si>
  <si>
    <t>1. 用户有超过20条经验记录
2. 进入会员等级页面
3. 定位经验记录列表底部</t>
  </si>
  <si>
    <t>1. 查看底部提示文案(预期「仅展示最近20条记录」)
2. 统计当前展示记录数(预期≤20)
3. 查看是否有「查看更多」/翻页按钮
4. 点击「查看更多」验证是否加载更多记录
5. 验证保留策略: 最近20条永久保留，之后数据清理或30条之后清理
6. 验证加载的记录按时间倒序衔接</t>
  </si>
  <si>
    <t>1. 底部显示「仅展示最近20条记录」提示
2. 已确认规则: 保留最近20条永久，之后数据清理或30条之后清理
3. 默认展示最多20条(最新)
4. 有「查看更多」或翻页功能
5. 点击后加载更早的记录，时间倒序衔接
6. 超过保留策略的旧记录不可见(已清理)</t>
  </si>
  <si>
    <t>UL-SRH-001</t>
  </si>
  <si>
    <t>经验记录列表为纯展示功能（无搜索框验证）</t>
  </si>
  <si>
    <t>1. 用户有多条经验记录
2. 进入会员等级页面
3. 定位经验记录列表区域</t>
  </si>
  <si>
    <t>1. 查看经验记录列表区域是否有搜索框
2. 查看是否有按业务类型/来源搜索的入口
3. 通过接口尝试调用搜索接口(如/experience/search)
4. 查看后端是否拦截搜索请求
5. 确认列表仅为纯展示功能</t>
  </si>
  <si>
    <t>1. 已确认规则: 经验记录列表只是单纯列表功能，仅供查看
2. 列表区域无搜索框
3. 无按业务类型/来源搜索的入口
4. 接口直接调用搜索接口被后端拦截或返回不支持
5. 列表仅按时间倒序展示，无搜索功能</t>
  </si>
  <si>
    <t>UL-SRH-002</t>
  </si>
  <si>
    <t>经验记录列表无筛选功能（纯列表查看验证）</t>
  </si>
  <si>
    <t>1. 用户有各类来源(消费获取/系统操作)和业务类型的经验记录
2. 进入会员等级页面
3. 定位经验记录列表区域</t>
  </si>
  <si>
    <t>1. 查看经验记录列表区域是否有筛选下拉框/筛选按钮
2. 查看是否有按来源(消费获取/系统操作)筛选的入口
3. 查看是否有按业务类型(购买/租赁)筛选的入口
4. 通过接口尝试调用筛选接口
5. 确认列表仅为纯展示功能，无筛选</t>
  </si>
  <si>
    <t>1. 已确认规则: 经验记录列表只是单纯列表功能，仅供查看(无筛选)
2. 列表区域无筛选下拉框/筛选按钮
3. 无按来源/业务类型筛选的入口
4. 接口直接调用筛选接口被后端拦截或不支持
5. 列表仅按时间倒序展示全部记录，无筛选功能</t>
  </si>
  <si>
    <t>UL-SRH-003</t>
  </si>
  <si>
    <t>分页边界值（最后一页数据量/删除后分页跳转/总数变化）</t>
  </si>
  <si>
    <t>1. 用户有25条经验记录(每页20条，共2页)
2. 场景A: 第2页仅5条
3. 场景B: 在第2页删除1条(剩4条)
4. 场景C: 在第2页删除全部5条</t>
  </si>
  <si>
    <t>1. 场景A: 进入第2页，验证仅显示5条数据，无上一页数据带入
2. 场景A: 验证5条数据正常渲染(非空白/错位)
3. 场景B: 第2页删除1条后剩4条，验证仍停留在第2页显示4条
4. 场景C: 第2页删除全部5条后，验证自动跳回第1页(非空白页)
5. 场景C: 验证跳回第1页后分页器更新为仅1页
6. 验证删除后总条数实时更新
7. 核对前端分页跳转逻辑</t>
  </si>
  <si>
    <t>1. 最后一页5条数据正常渲染，无带入上一页数据
2. 删除1条后仍停留当前页显示4条
3. 删除全部后自动跳回第1页，非空白
4. 分页器实时更新(总页数-1)
5. 总条数实时更新
6. 后端参数校验确保分页参数(page/size)合法
7. 无越界访问(第3页返回空)</t>
  </si>
  <si>
    <t>UL-SRH-004</t>
  </si>
  <si>
    <t>排序稳定性（相同时间戳记录顺序固定）</t>
  </si>
  <si>
    <t>1. 用户有多条经验记录
2. 通过后端注入2条created_at完全相同(精确到秒)的记录
3. 进入会员等级页面</t>
  </si>
  <si>
    <t>1. 查看2条相同时间戳记录的排列顺序
2. 刷新页面3次，每次查看顺序是否一致
3. 验证顺序是否固定(不因刷新而上下跳动)
4. 核对后端排序SQL: ORDER BY created_at DESC, id DESC (二级排序保证稳定)
5. 若仅按created_at排序: 验证是否有不稳定现象
6. 验证相同时间戳记录的内容均正确显示</t>
  </si>
  <si>
    <t>1. 相同时间戳记录顺序固定，刷新后不跳变
2. 后端排序含二级字段(如id)保证稳定性
3. 记录内容正确，无丢失/重复
4. 若仅单字段排序有跳变: 标记为缺陷，建议加二级排序
5. 前端渲染顺序与接口返回顺序一致</t>
  </si>
  <si>
    <t>UL-SRH-005</t>
  </si>
  <si>
    <t>操作反馈及时性（重复点击防抖/Toast位置/Loading态）</t>
  </si>
  <si>
    <t>1. 用户进入会员等级页面
2. 经验记录列表有「查看更多」或筛选操作按钮</t>
  </si>
  <si>
    <t>1. 重复点击: 快速连续点击「查看更多」5次，验证是否发5次请求(预期防抖仅1次)
2. 重复筛选: 快速切换筛选条件3次，验证是否仅发最后1次请求
3. Loading态: 点击操作后验证是否立即显示loading(非无响应)
4. Toast位置: 操作成功后验证Toast位置(正中间/右上角)是否遮挡列表关键信息
5. Toast消失: 验证Toast 2-3秒后自动消失
6. 按钮禁用: 操作进行中验证按钮是否禁用(防重复提交)
7. 核对前端防抖机制(debounce/throttle)</t>
  </si>
  <si>
    <t>1. 重复点击: 防抖处理，仅发1次请求，页面不闪烁
2. 重复筛选: 仅执行最后1次，无多余请求
3. Loading态: 操作后立即显示loading
4. Toast位置: 不遮挡列表关键信息
5. Toast 2-3秒自动消失
6. 操作中按钮禁用，防止重复提交
7. 前端有debounce/throttle防抖机制</t>
  </si>
  <si>
    <t>用户等级测试 - 接口一致性与异常边界</t>
  </si>
  <si>
    <t>UL-API-001</t>
  </si>
  <si>
    <t>用户等级接口返回与页面展示一致性</t>
  </si>
  <si>
    <t>1. 用户已登录
2. 进入会员等级页面
3. 通过开发者工具抓取接口响应</t>
  </si>
  <si>
    <t>1. 抓取用户等级接口(如/user/level/info)响应
2. 核对响应字段: level/current_exp/next_level_exp/benefits/rewards
3. 核对level字段值与页面显示等级一致
4. 核对current_exp与页面进度条数值一致
5. 核对benefits数组与页面权益卡片一致
6. 核对rewards数组与页面奖励列表一致
7. 验证接口响应时间≤500ms</t>
  </si>
  <si>
    <t>1. 接口返回数据完整，字段无缺失
2. level值与页面等级一致
3. current_exp与进度条数值一致
4. benefits数组与权益卡片一一对应
5. rewards数组与奖励列表一致
6. 接口响应≤500ms
7. 后端参数校验(必填/格式/范围)确保返回数据规范</t>
  </si>
  <si>
    <t>UL-API-002</t>
  </si>
  <si>
    <t>经验值接口与数据库一致性</t>
  </si>
  <si>
    <t>1. 用户当前经验8,500
2. 通过后端直连数据库查询user_experience表
3. 调用经验值接口
4. 进入会员等级页面</t>
  </si>
  <si>
    <t>1. 查询数据库: SELECT experience FROM user_experience WHERE user_id=1770108162
2. 调用接口: GET /user/experience
3. 查看页面头部经验值显示
4. 三方数据对比: 数据库值=接口返回值=页面显示值
5. 触发经验变更(完成订单)后重复对比
6. 验证事务一致性</t>
  </si>
  <si>
    <t>1. 数据库经验值 = 接口返回经验值 = 页面显示经验值
2. 三方完全一致
3. 经验变更后三方同步更新
4. 数据库事务提交后接口立即可读
5. 无脏读/幻读
6. 后端唯一性校验(唯一索引)防止重复记录</t>
  </si>
  <si>
    <t>UL-API-003</t>
  </si>
  <si>
    <t>权益配置接口数据正确性</t>
  </si>
  <si>
    <t>1. 通过后端查询level_config配置表
2. 调用权益配置接口(如/config/level/benefits)
3. 进入会员等级页面对比表</t>
  </si>
  <si>
    <t>1. 查询数据库level_config表全部5个等级配置
2. 调用权益配置接口获取全量配置
3. 对比接口返回与数据库记录
4. 对比接口返回与页面对比表数据
5. 验证配置变更后接口是否实时更新
6. 验证配置缓存策略(如有)</t>
  </si>
  <si>
    <t>1. 接口返回5个等级完整配置
2. 接口数据与数据库level_config表一致
3. 接口数据与页面对比表一致
4. 配置变更后接口及时更新(缓存失效或短TTL)
5. 各等级权益数值递增，无倒挂</t>
  </si>
  <si>
    <t>UL-API-004</t>
  </si>
  <si>
    <t>并发操作经验值一致性（后端并发校验）</t>
  </si>
  <si>
    <t>1. 用户当前经验8,500
2. 模拟并发场景: 同时发起3个经验增加请求(各+300)
3. 使用JMeter/Postman并发工具</t>
  </si>
  <si>
    <t>1. 并发发起3个请求: POST /user/experience/add {amount:300}
2. 查看接口返回(预期1个成功+2个排队或全部成功但最终一致)
3. 查询数据库最终经验值(预期8,500+900=9,400)
4. 验证经验记录列表是否有3条+300记录
5. 验证无经验丢失/多加
6. 核对后端并发控制机制</t>
  </si>
  <si>
    <t>1. 3个并发请求最终经验值为9,400(8500+300×3)
2. 经验记录有3条+300记录
3. 无经验丢失或重复增加
4. 后端并发校验(乐观锁/分布式锁)保证一致性
5. 并发请求无死锁/超时
6. 事务隔离级别正确(不可重复读及以上)</t>
  </si>
  <si>
    <t>UL-API-005</t>
  </si>
  <si>
    <t>接口超时/异常降级处理</t>
  </si>
  <si>
    <t>1. 模拟接口异常场景:
   场景A: 接口响应超时(&gt;10s)
   场景B: 接口返回500错误
   场景C: 接口返回401未授权
   场景D: 接口返回429限流
2. 进入会员等级页面</t>
  </si>
  <si>
    <t>1. 场景A(超时): 验证前端loading态→超时提示
2. 场景B(500): 验证错误提示+重试
3. 场景C(401): 验证跳转登录页
4. 场景D(429): 验证限流提示
5. 验证所有场景下页面不崩溃
6. 验证已缓存数据在接口失败时仍可展示(如有缓存)
7. 验证错误上报(埋点)</t>
  </si>
  <si>
    <t>1. 超时: 显示loading→超时提示，不无限等待
2. 500: 显示「服务异常」+重试按钮
3. 401: 跳转登录页，登录后返回原页面
4. 429: 显示「操作频繁」提示
5. 页面不崩溃，骨架屏/缓存数据保留
6. 错误事件埋点上报
7. 后端参数校验确保异常不导致数据不一致</t>
  </si>
  <si>
    <t>UL-EXC-001</t>
  </si>
  <si>
    <t>空状态（无经验记录缺省页）</t>
  </si>
  <si>
    <t>1. 新注册用户无任何经验记录
2. 进入会员等级页面
3. 定位经验记录列表区域</t>
  </si>
  <si>
    <t>1. 查看列表区域是否显示缺省页(Empty State)
2. 核对缺省页图标/文案
3. 验证缺省页文案(如「暂无经验记录」)
4. 验证页面其他模块(头部/权益/对比表)正常展示
5. 验证后端返回空数组时前端的处理逻辑</t>
  </si>
  <si>
    <t>1. 列表区域显示缺省页，有图标和文案
2. 文案为「暂无经验记录」或设计稿指定文案
3. 缺省页样式美观，不破坏页面布局
4. 其他模块不受影响，正常展示
5. 后端返回空数组时前端正确渲染缺省页</t>
  </si>
  <si>
    <t>UL-EXC-002</t>
  </si>
  <si>
    <t>网络异常（接口请求失败的错误处理）</t>
  </si>
  <si>
    <t>1. 用户进入会员等级页面
2. 使用开发者工具模拟网络异常(断网/超时/500错误)
3. 触发页面接口请求</t>
  </si>
  <si>
    <t>1. 断网: 验证页面是否有网络错误提示
2. 接口超时(设置10s超时): 验证是否有超时提示
3. 接口500: 验证是否有服务器错误提示
4. 验证是否有「重试」按钮
5. 点击重试验证是否重新请求
6. 验证错误提示文案友好(非技术报错)
7. 验证错误状态下页面不崩溃</t>
  </si>
  <si>
    <t>1. 断网: 显示「网络连接失败，请检查网络」+重试按钮
2. 超时: 显示「请求超时，请重试」+重试按钮
3. 500错误: 显示「服务器异常，请稍后重试」+重试按钮
4. 重试按钮可重新发起请求
5. 错误提示文案用户友好
6. 页面不崩溃，其他已加载数据保留</t>
  </si>
  <si>
    <t>UL-EXC-003</t>
  </si>
  <si>
    <t>数据延迟（经验更新后页面刷新时效性）</t>
  </si>
  <si>
    <t>1. 用户当前经验8,500
2. 完成一笔租赁账号订单(获得+300经验)
3. 订单完成后立即进入会员等级页面</t>
  </si>
  <si>
    <t>1. 订单完成后立即刷新会员等级页面
2. 查看头部经验值是否更新为8,800
3. 查看进度条是否更新
4. 查看经验记录列表是否有新记录(+300)
5. 若未更新: 等待5秒后再次刷新验证
6. 验证是否有延迟提示文案
7. 核对后端经验发放是同步还是异步(MQ)</t>
  </si>
  <si>
    <t>1. 已确认规则: 不缓存直接入库(或缓存≤3秒)，经验值及时更新
2. 进度条同步更新
3. 经验记录列表新增+300记录
4. 更改等级/经验/权益数据后立即生效(不缓存或缓存3秒失效)
5. 后端经验发放逻辑正确(同步/异步均最终一致)
6. 后端状态机校验确保经验发放与订单状态联动</t>
  </si>
  <si>
    <t>UL-EXC-004</t>
  </si>
  <si>
    <t>极端数值（进度条溢出/超大经验值显示）</t>
  </si>
  <si>
    <t>1. 通过后端注入极端经验值:
   场景A: 经验值=999,999,999(超大)
   场景B: 经验值超过等级上限
   场景C: 经验值为0
2. 进入会员等级页面</t>
  </si>
  <si>
    <t>1. 场景A: 查看经验值显示是否换行/溢出
2. 场景A: 查看进度条是否超过100%或溢出
3. 场景B: 验证经验值超过上限时是否触发升级或进度条封顶100%
4. 场景C: 经验值0时进度条为空，文案正常
5. 验证数值千分位格式(如99,999,999)</t>
  </si>
  <si>
    <t>1. 超大经验值正常显示，有千分位格式
2. 进度条最大100%，不溢出
3. 超过等级上限时触发升级逻辑或封顶100%
4. 经验值0时进度条为空，无异常
5. 后端参数校验(必填/格式/范围)确保经验值为非负整数</t>
  </si>
  <si>
    <t>UL-EXC-005</t>
  </si>
  <si>
    <t>等级边界（刚好满经验升级/差1经验未升级）</t>
  </si>
  <si>
    <t>1. 场景A: 用户经验=9,999，等级阈值=10,000(差1未升级)
2. 场景B: 用户经验=10,000，等级阈值=10,000(刚好升级)
3. 场景C: 用户经验=10,001(刚超过升级)
4. 进入会员等级页面</t>
  </si>
  <si>
    <t>1. 场景A: 验证等级仍为当前等级，未升级
2. 场景A: 验证进度条显示99.99%，提示「距下一级还需1经验」
3. 场景B: 验证等级已升级到下一级
4. 场景B: 验证升级后权益/奖励即时更新
5. 场景C: 验证等级已升级，多余经验计入下一级进度
6. 核对后端升级判断逻辑: experience &gt;= threshold</t>
  </si>
  <si>
    <t>1. 差1经验: 不升级，提示还需1经验
2. 刚好满经验: 立即升级，权益/奖励更新
3. 超过经验: 升级，多余经验计入下一级
4. 后端升级逻辑: experience &gt;= threshold 触发升级
5. 后端状态机校验确保升级流转合法(不可逆/不跳级除非配置允许)
6. 升级触发奖励发放和权益变更</t>
  </si>
  <si>
    <t>用户等级测试 - 数据展示与体验安全</t>
  </si>
  <si>
    <t>UL-DSP-001</t>
  </si>
  <si>
    <t>长文本与极端数据展示（超长昵称/余额0与负数/数值溢出）</t>
  </si>
  <si>
    <t>1. 场景A: 修改用户昵称为50个字符的超长文本
2. 场景B: 用户经验值为0
3. 场景C: 通过后端注入负经验值(退款导致)
4. 场景D: 经验值为超大数(999,999,999)
5. 进入会员等级页面</t>
  </si>
  <si>
    <t>1. 场景A(超长昵称): 查看头部昵称展示，验证是换行/省略号/撑爆布局
2. 场景A: 查看经验记录列表中昵称列的展示
3. 场景B(经验0): 查看进度条是否为空，文案是否正常
4. 场景C(负经验): 查看经验值显示颜色(预期红色)，进度条处理
5. 场景C: 验证负经验是否触发降级
6. 场景D(超大数): 验证数值有千分位，不换行/溢出
7. 验证各场景下页面布局不被破坏</t>
  </si>
  <si>
    <t>1. 超长昵称: 省略号显示(...)或换行，不撑爆布局
2. 经验0: 进度条为空，文案正常
3. 负经验: 红色显示，进度条为空或0%，触发降级
4. 超大数: 千分位格式(99,999,999)，不溢出
5. 各场景页面布局正常，无错位/破坏
6. 后端参数校验(必填/格式/范围)确保经验值为非负(负值仅退款场景临时)</t>
  </si>
  <si>
    <t>UL-DSP-002</t>
  </si>
  <si>
    <t>头像加载失败处理（404/链接失效默认图）</t>
  </si>
  <si>
    <t>1. 场景A: 修改用户头像URL为无效地址(如https://example.com/notexist.jpg)
2. 场景B: 头像CDN故障返回503
3. 场景C: 头像链接超时
4. 进入会员等级页面</t>
  </si>
  <si>
    <t>1. 场景A(404): 查看头部头像区域，验证是否显示裂图或默认灰色人像
2. 场景A: 验证默认图样式美观(非裂图影响美观)
3. 场景B(503): 验证头像区域是否有降级显示
4. 场景C(超时): 验证是否有超时后的默认图
5. 验证头像加载失败不影响页面其他模块渲染
6. 验证头像区域有onerror回退到默认图
7. 核对前端img标签的error处理</t>
  </si>
  <si>
    <t>1. 404: 显示默认灰色人像图，非裂图
2. 默认图样式美观，与设计规范一致
3. 503: 降级显示默认图
4. 超时: 超时后显示默认图
5. 头像失败不影响其他模块渲染
6. img标签有onerror事件回退
7. 头像区域有loading占位(骨架屏)</t>
  </si>
  <si>
    <t>UL-DSP-003</t>
  </si>
  <si>
    <t>敏感数据脱敏与权限控制（手机号掩码/真实姓名/小眼睛刷新）</t>
  </si>
  <si>
    <t>1. 场景A: 普通用户查看自己会员页面(手机号是否脱敏)
2. 场景B: 客服角色查看用户会员页面(是否看到完整手机号/真实姓名)
3. 场景C: 管理员角色查看(完整数据)
4. 场景D: 点击小眼睛查看完整手机号后刷新页面</t>
  </si>
  <si>
    <t>1. 场景A(普通用户): 查看自己手机号是否可见
2. 场景A: 查看真实姓名等敏感数据是否可见
3. 场景B(客服): 验证客服是否仅能看到用户手机号
4. 场景B: 验证客服看不到真实姓名等敏感数据
5. 场景C(管理员): 验证管理员可以看到全部信息
6. 场景D(小眼睛): 如有查看明文功能，点击后刷新验证回退
7. 核对后端权限校验(RBAC角色校验)数据脱敏逻辑</t>
  </si>
  <si>
    <t>1. 已确认规则: 用户看不到手机号/真实姓名等敏感数据
2. 已确认规则: 客服仅能看到用户手机号，看不到真实姓名等敏感数据
3. 已确认规则: 管理员可以看到全部信息
4. 小眼睛查看后刷新: 回退为脱敏状态(非持久化)
5. 后端权限校验(RBAC角色校验)按角色返回脱敏/完整数据
6. 完整手机号查看有操作日志(谁/何时查看)
7. 后端唯一性校验(唯一索引)防止越权查询</t>
  </si>
  <si>
    <t>UL-DSP-004</t>
  </si>
  <si>
    <t>等级颜色动态变化（升级后立即变色vs重新登录）</t>
  </si>
  <si>
    <t>1. 用户当前Lv.3白银，经验9,900
2. 升级阈值10,000
3. 完成订单获得+200经验(升级到Lv.4黄金)
4. 升级后不刷新页面/刷新页面/重新登录三种场景</t>
  </si>
  <si>
    <t>1. 场景A(不刷新): 升级后立即查看等级标签颜色，验证是否从白银色变黄金色
2. 场景A: 验证是否需要手动刷新才变色
3. 场景B(刷新): 刷新页面后验证颜色已变为黄金色
4. 场景B: 验证等级名称/图标同步更新
5. 场景C(重新登录): 退出重新登录后验证颜色正确
6. 场景A vs B: 确认是实时更新还是需刷新
7. 核对前端是否有轮询/WebSocket推送等级变更
8. 核对后端升级后缓存失效时机</t>
  </si>
  <si>
    <t>1. 场景A(不刷新): 等级颜色立即变为黄金色(若有WebSocket/轮询)
2. 若无实时推送: 需手动刷新后变色(标记为体验优化项)
3. 场景B(刷新): 颜色/名称/图标全部更新为黄金
4. 场景C(重新登录): 颜色正确
5. 后端升级后缓存立即失效，下次请求返回新等级
6. 前端有等级变更监听机制(WebSocket/轮询)则实时变色
7. 后端状态机校验确保升级后数据一致</t>
  </si>
  <si>
    <t>UL-DSP-005</t>
  </si>
  <si>
    <t>会员等级页面无导出功能验证</t>
  </si>
  <si>
    <t>1. 进入会员等级页面
2. 查看页面是否有导出按钮</t>
  </si>
  <si>
    <t>1. 查看会员等级页面是否有「导出」按钮
2. 查看经验记录列表区域是否有导出入口
3. 通过接口尝试调用导出接口(如/experience/export)
4. 查看后端是否拦截导出请求
5. 确认页面无任何导出功能</t>
  </si>
  <si>
    <t>1. 已确认规则: 会员等级页面无导出功能
2. 页面无「导出」按钮
3. 经验记录列表区域无导出入口
4. 接口直接调用导出接口被后端拦截或不支持
5. 页面无任何导出功能入口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</si>
</sst>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Noto Sans SC"/>
      <charset val="134"/>
    </font>
    <font>
      <b/>
      <sz val="14"/>
      <color rgb="FF1F2937"/>
      <name val="微软雅黑"/>
      <charset val="1"/>
    </font>
    <font>
      <b/>
      <sz val="11"/>
      <color rgb="FFFFFFFF"/>
      <name val="微软雅黑"/>
      <charset val="1"/>
    </font>
    <font>
      <b/>
      <sz val="10"/>
      <color rgb="FF1F2937"/>
      <name val="微软雅黑"/>
      <charset val="1"/>
    </font>
    <font>
      <sz val="10"/>
      <name val="微软雅黑"/>
      <charset val="1"/>
    </font>
    <font>
      <b/>
      <sz val="10"/>
      <color rgb="FFEA580C"/>
      <name val="微软雅黑"/>
      <charset val="1"/>
    </font>
    <font>
      <sz val="10"/>
      <color rgb="FF2563EB"/>
      <name val="微软雅黑"/>
      <charset val="1"/>
    </font>
    <font>
      <b/>
      <sz val="10"/>
      <color rgb="FFDC2626"/>
      <name val="微软雅黑"/>
      <charset val="1"/>
    </font>
    <font>
      <sz val="10"/>
      <color rgb="FF6B7280"/>
      <name val="微软雅黑"/>
      <charset val="1"/>
    </font>
    <font>
      <sz val="10"/>
      <name val="微软雅黑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1F2937"/>
      <name val="微软雅黑"/>
      <charset val="1"/>
    </font>
    <font>
      <sz val="10"/>
      <color rgb="FF9CA3AF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472C4"/>
        <bgColor rgb="FF2563EB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F2FF"/>
        <bgColor rgb="FFF7F9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Border="0" applyAlignment="0" applyProtection="0"/>
    <xf numFmtId="44" fontId="14" fillId="0" borderId="0" applyBorder="0" applyAlignment="0" applyProtection="0"/>
    <xf numFmtId="9" fontId="14" fillId="0" borderId="0" applyBorder="0" applyAlignment="0" applyProtection="0"/>
    <xf numFmtId="41" fontId="14" fillId="0" borderId="0" applyBorder="0" applyAlignment="0" applyProtection="0"/>
    <xf numFmtId="42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9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1" borderId="5" applyNumberFormat="0" applyAlignment="0" applyProtection="0">
      <alignment vertical="center"/>
    </xf>
    <xf numFmtId="0" fontId="26" fillId="12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top" wrapText="1"/>
    </xf>
    <xf numFmtId="0" fontId="10" fillId="0" borderId="0" xfId="0" applyFont="1" applyFill="1" applyAlignment="1">
      <alignment vertical="center"/>
    </xf>
    <xf numFmtId="0" fontId="9" fillId="6" borderId="1" xfId="0" applyFont="1" applyFill="1" applyBorder="1" applyAlignment="1">
      <alignment horizontal="left" vertical="top" wrapText="1"/>
    </xf>
    <xf numFmtId="0" fontId="11" fillId="7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 wrapText="1"/>
    </xf>
    <xf numFmtId="0" fontId="12" fillId="0" borderId="0" xfId="0" applyFont="1"/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7F9FC"/>
      <rgbColor rgb="00EAF2FF"/>
      <rgbColor rgb="00660066"/>
      <rgbColor rgb="00FF8080"/>
      <rgbColor rgb="004472C4"/>
      <rgbColor rgb="00D9DE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563EB"/>
      <rgbColor rgb="0033CCCC"/>
      <rgbColor rgb="0099CC00"/>
      <rgbColor rgb="00FFCC00"/>
      <rgbColor rgb="00FF9900"/>
      <rgbColor rgb="00EA580C"/>
      <rgbColor rgb="006B7280"/>
      <rgbColor rgb="009CA3AF"/>
      <rgbColor rgb="00003366"/>
      <rgbColor rgb="00339966"/>
      <rgbColor rgb="00003300"/>
      <rgbColor rgb="00333300"/>
      <rgbColor rgb="00993300"/>
      <rgbColor rgb="00993366"/>
      <rgbColor rgb="00333399"/>
      <rgbColor rgb="00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10</xdr:col>
      <xdr:colOff>1690</xdr:colOff>
      <xdr:row>24</xdr:row>
      <xdr:rowOff>18250</xdr:rowOff>
    </xdr:from>
    <xdr:to>
      <xdr:col>13</xdr:col>
      <xdr:colOff>397655</xdr:colOff>
      <xdr:row>25</xdr:row>
      <xdr:rowOff>139650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421425</xdr:colOff>
      <xdr:row>6</xdr:row>
      <xdr:rowOff>846925</xdr:rowOff>
    </xdr:from>
    <xdr:to>
      <xdr:col>5</xdr:col>
      <xdr:colOff>2621425</xdr:colOff>
      <xdr:row>6</xdr:row>
      <xdr:rowOff>1196925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421425</xdr:colOff>
      <xdr:row>6</xdr:row>
      <xdr:rowOff>846925</xdr:rowOff>
    </xdr:from>
    <xdr:to>
      <xdr:col>5</xdr:col>
      <xdr:colOff>2621425</xdr:colOff>
      <xdr:row>6</xdr:row>
      <xdr:rowOff>1196925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421425</xdr:colOff>
      <xdr:row>6</xdr:row>
      <xdr:rowOff>846925</xdr:rowOff>
    </xdr:from>
    <xdr:to>
      <xdr:col>5</xdr:col>
      <xdr:colOff>2621425</xdr:colOff>
      <xdr:row>6</xdr:row>
      <xdr:rowOff>1196925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421425</xdr:colOff>
      <xdr:row>6</xdr:row>
      <xdr:rowOff>846925</xdr:rowOff>
    </xdr:from>
    <xdr:to>
      <xdr:col>5</xdr:col>
      <xdr:colOff>2621425</xdr:colOff>
      <xdr:row>6</xdr:row>
      <xdr:rowOff>1196925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421425</xdr:colOff>
      <xdr:row>6</xdr:row>
      <xdr:rowOff>846925</xdr:rowOff>
    </xdr:from>
    <xdr:to>
      <xdr:col>5</xdr:col>
      <xdr:colOff>2621425</xdr:colOff>
      <xdr:row>6</xdr:row>
      <xdr:rowOff>1196925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421425</xdr:colOff>
      <xdr:row>6</xdr:row>
      <xdr:rowOff>846925</xdr:rowOff>
    </xdr:from>
    <xdr:to>
      <xdr:col>5</xdr:col>
      <xdr:colOff>2621425</xdr:colOff>
      <xdr:row>6</xdr:row>
      <xdr:rowOff>1196925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drawing" Target="../drawings/drawing_wm1.xml"/>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drawing" Target="../drawings/drawing_wm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drawing" Target="../drawings/drawing_wm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drawing" Target="../drawings/drawing_wm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drawing" Target="../drawings/drawing_wm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drawing" Target="../drawings/drawing_wm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drawing" Target="../drawings/drawing_wm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A1:G1"/>
    </sheetView>
  </sheetViews>
  <sheetFormatPr defaultColWidth="7.89166666666667" defaultRowHeight="18" outlineLevelCol="6"/>
  <cols>
    <col min="1" max="1" width="21.8416666666667" customWidth="1"/>
    <col min="2" max="7" width="7.28333333333333" customWidth="1"/>
  </cols>
  <sheetData>
    <row r="1" ht="31.5" customHeight="1" spans="1:7">
      <c r="A1" s="1" t="s">
        <v>0</v>
      </c>
      <c r="B1" s="1"/>
      <c r="C1" s="1"/>
      <c r="D1" s="1"/>
      <c r="E1" s="1"/>
      <c r="F1" s="1"/>
      <c r="G1" s="1"/>
    </row>
    <row r="2" ht="9.75" customHeight="1"/>
    <row r="3" spans="1:7">
      <c r="A3" s="21" t="s">
        <v>1</v>
      </c>
    </row>
    <row r="4" ht="21.75" customHeight="1" spans="1:7">
      <c r="A4" s="22" t="s">
        <v>2</v>
      </c>
      <c r="B4" s="23" t="s">
        <v>3</v>
      </c>
      <c r="C4" s="23"/>
      <c r="D4" s="23"/>
      <c r="E4" s="23"/>
      <c r="F4" s="23"/>
      <c r="G4" s="23"/>
    </row>
    <row r="5" ht="21.75" customHeight="1" spans="1:7">
      <c r="A5" s="24" t="s">
        <v>4</v>
      </c>
      <c r="B5" s="23" t="s">
        <v>5</v>
      </c>
      <c r="C5" s="23"/>
      <c r="D5" s="23"/>
      <c r="E5" s="23"/>
      <c r="F5" s="23"/>
      <c r="G5" s="23"/>
    </row>
    <row r="6" ht="21.75" customHeight="1" spans="1:7">
      <c r="A6" s="25" t="s">
        <v>6</v>
      </c>
      <c r="B6" s="23" t="s">
        <v>7</v>
      </c>
      <c r="C6" s="23"/>
      <c r="D6" s="23"/>
      <c r="E6" s="23"/>
      <c r="F6" s="23"/>
      <c r="G6" s="23"/>
    </row>
    <row r="7" ht="21.75" customHeight="1" spans="1:7">
      <c r="A7" s="26" t="s">
        <v>8</v>
      </c>
      <c r="B7" s="23" t="s">
        <v>9</v>
      </c>
      <c r="C7" s="23"/>
      <c r="D7" s="23"/>
      <c r="E7" s="23"/>
      <c r="F7" s="23"/>
      <c r="G7" s="23"/>
    </row>
    <row r="8" ht="21.75" customHeight="1" spans="1:7">
      <c r="A8" s="27" t="s">
        <v>10</v>
      </c>
      <c r="B8" s="23" t="s">
        <v>11</v>
      </c>
      <c r="C8" s="23"/>
      <c r="D8" s="23"/>
      <c r="E8" s="23"/>
      <c r="F8" s="23"/>
      <c r="G8" s="23"/>
    </row>
    <row r="9" ht="9.75" customHeight="1"/>
    <row r="10" spans="1:7">
      <c r="A10" s="21" t="s">
        <v>12</v>
      </c>
    </row>
    <row r="11" ht="19.5" customHeight="1" spans="1:7">
      <c r="A11" s="28" t="s">
        <v>13</v>
      </c>
      <c r="B11" s="28"/>
      <c r="C11" s="28"/>
      <c r="D11" s="28"/>
      <c r="E11" s="28"/>
      <c r="F11" s="28"/>
      <c r="G11" s="28"/>
    </row>
    <row r="12" ht="19.5" customHeight="1" spans="1:7">
      <c r="A12" s="28" t="s">
        <v>14</v>
      </c>
      <c r="B12" s="28"/>
      <c r="C12" s="28"/>
      <c r="D12" s="28"/>
      <c r="E12" s="28"/>
      <c r="F12" s="28"/>
      <c r="G12" s="28"/>
    </row>
    <row r="13" ht="19.5" customHeight="1" spans="1:7">
      <c r="A13" s="28" t="s">
        <v>15</v>
      </c>
      <c r="B13" s="28"/>
      <c r="C13" s="28"/>
      <c r="D13" s="28"/>
      <c r="E13" s="28"/>
      <c r="F13" s="28"/>
      <c r="G13" s="28"/>
    </row>
    <row r="14" ht="19.5" customHeight="1" spans="1:7">
      <c r="A14" s="28" t="s">
        <v>16</v>
      </c>
      <c r="B14" s="28"/>
      <c r="C14" s="28"/>
      <c r="D14" s="28"/>
      <c r="E14" s="28"/>
      <c r="F14" s="28"/>
      <c r="G14" s="28"/>
    </row>
    <row r="15" ht="19.5" customHeight="1" spans="1:7">
      <c r="A15" s="28" t="s">
        <v>17</v>
      </c>
      <c r="B15" s="28"/>
      <c r="C15" s="28"/>
      <c r="D15" s="28"/>
      <c r="E15" s="28"/>
      <c r="F15" s="28"/>
      <c r="G15" s="28"/>
    </row>
    <row r="16" ht="9.75" customHeight="1"/>
    <row r="17" ht="27.75" customHeight="1" spans="1:7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24</v>
      </c>
    </row>
    <row r="18" ht="24" customHeight="1" spans="1:7">
      <c r="A18" s="4" t="s">
        <v>25</v>
      </c>
      <c r="B18" s="29">
        <f>COUNTA(用户信息与等级权益展示!A3:A200)</f>
        <v>10</v>
      </c>
      <c r="C18" s="29">
        <f>COUNTIF(用户信息与等级权益展示!C3:C200,"P1")</f>
        <v>0</v>
      </c>
      <c r="D18" s="29">
        <f>COUNTIF(用户信息与等级权益展示!C3:C200,"P2")</f>
        <v>7</v>
      </c>
      <c r="E18" s="29">
        <f>COUNTIF(用户信息与等级权益展示!C3:C200,"P3")</f>
        <v>3</v>
      </c>
      <c r="F18" s="29">
        <f>COUNTIF(用户信息与等级权益展示!C3:C200,"P4")</f>
        <v>0</v>
      </c>
      <c r="G18" s="29">
        <f>COUNTIF(用户信息与等级权益展示!C3:C200,"P5")</f>
        <v>0</v>
      </c>
    </row>
    <row r="19" ht="24" customHeight="1" spans="1:7">
      <c r="A19" s="7" t="s">
        <v>26</v>
      </c>
      <c r="B19" s="30">
        <f>COUNTA(等级奖励与权益对比!A3:A200)</f>
        <v>10</v>
      </c>
      <c r="C19" s="30">
        <f>COUNTIF(等级奖励与权益对比!C3:C200,"P1")</f>
        <v>0</v>
      </c>
      <c r="D19" s="30">
        <f>COUNTIF(等级奖励与权益对比!C3:C200,"P2")</f>
        <v>5</v>
      </c>
      <c r="E19" s="30">
        <f>COUNTIF(等级奖励与权益对比!C3:C200,"P3")</f>
        <v>5</v>
      </c>
      <c r="F19" s="30">
        <f>COUNTIF(等级奖励与权益对比!C3:C200,"P4")</f>
        <v>0</v>
      </c>
      <c r="G19" s="30">
        <f>COUNTIF(等级奖励与权益对比!C3:C200,"P5")</f>
        <v>0</v>
      </c>
    </row>
    <row r="20" ht="24" customHeight="1" spans="1:7">
      <c r="A20" s="4" t="s">
        <v>27</v>
      </c>
      <c r="B20" s="29">
        <f>COUNTA(等级升级与经验获取逻辑!A3:A200)</f>
        <v>5</v>
      </c>
      <c r="C20" s="29">
        <f>COUNTIF(等级升级与经验获取逻辑!C3:C200,"P1")</f>
        <v>2</v>
      </c>
      <c r="D20" s="29">
        <f>COUNTIF(等级升级与经验获取逻辑!C3:C200,"P2")</f>
        <v>2</v>
      </c>
      <c r="E20" s="29">
        <f>COUNTIF(等级升级与经验获取逻辑!C3:C200,"P3")</f>
        <v>1</v>
      </c>
      <c r="F20" s="29">
        <f>COUNTIF(等级升级与经验获取逻辑!C3:C200,"P4")</f>
        <v>0</v>
      </c>
      <c r="G20" s="29">
        <f>COUNTIF(等级升级与经验获取逻辑!C3:C200,"P5")</f>
        <v>0</v>
      </c>
    </row>
    <row r="21" ht="24" customHeight="1" spans="1:7">
      <c r="A21" s="7" t="s">
        <v>28</v>
      </c>
      <c r="B21" s="30">
        <f>COUNTA(经验记录列表与交互!A3:A200)</f>
        <v>10</v>
      </c>
      <c r="C21" s="30">
        <f>COUNTIF(经验记录列表与交互!C3:C200,"P1")</f>
        <v>1</v>
      </c>
      <c r="D21" s="30">
        <f>COUNTIF(经验记录列表与交互!C3:C200,"P2")</f>
        <v>2</v>
      </c>
      <c r="E21" s="30">
        <f>COUNTIF(经验记录列表与交互!C3:C200,"P3")</f>
        <v>6</v>
      </c>
      <c r="F21" s="30">
        <f>COUNTIF(经验记录列表与交互!C3:C200,"P4")</f>
        <v>1</v>
      </c>
      <c r="G21" s="30">
        <f>COUNTIF(经验记录列表与交互!C3:C200,"P5")</f>
        <v>0</v>
      </c>
    </row>
    <row r="22" ht="24" customHeight="1" spans="1:7">
      <c r="A22" s="4" t="s">
        <v>29</v>
      </c>
      <c r="B22" s="29">
        <f>COUNTA(接口一致性与异常边界!A3:A200)</f>
        <v>10</v>
      </c>
      <c r="C22" s="29">
        <f>COUNTIF(接口一致性与异常边界!C3:C200,"P1")</f>
        <v>2</v>
      </c>
      <c r="D22" s="29">
        <f>COUNTIF(接口一致性与异常边界!C3:C200,"P2")</f>
        <v>3</v>
      </c>
      <c r="E22" s="29">
        <f>COUNTIF(接口一致性与异常边界!C3:C200,"P3")</f>
        <v>5</v>
      </c>
      <c r="F22" s="29">
        <f>COUNTIF(接口一致性与异常边界!C3:C200,"P4")</f>
        <v>0</v>
      </c>
      <c r="G22" s="29">
        <f>COUNTIF(接口一致性与异常边界!C3:C200,"P5")</f>
        <v>0</v>
      </c>
    </row>
    <row r="23" ht="24" customHeight="1" spans="1:7">
      <c r="A23" s="7" t="s">
        <v>30</v>
      </c>
      <c r="B23" s="30">
        <f>COUNTA(数据展示与体验安全!A3:A200)</f>
        <v>5</v>
      </c>
      <c r="C23" s="30">
        <f>COUNTIF(数据展示与体验安全!C3:C200,"P1")</f>
        <v>1</v>
      </c>
      <c r="D23" s="30">
        <f>COUNTIF(数据展示与体验安全!C3:C200,"P2")</f>
        <v>2</v>
      </c>
      <c r="E23" s="30">
        <f>COUNTIF(数据展示与体验安全!C3:C200,"P3")</f>
        <v>2</v>
      </c>
      <c r="F23" s="30">
        <f>COUNTIF(数据展示与体验安全!C3:C200,"P4")</f>
        <v>0</v>
      </c>
      <c r="G23" s="30">
        <f>COUNTIF(数据展示与体验安全!C3:C200,"P5")</f>
        <v>0</v>
      </c>
    </row>
    <row r="24" ht="27.75" customHeight="1" spans="1:7">
      <c r="A24" s="31" t="s">
        <v>31</v>
      </c>
      <c r="B24" s="31">
        <f t="shared" ref="B24:G24" si="0">SUM(B18:B23)</f>
        <v>50</v>
      </c>
      <c r="C24" s="31">
        <f t="shared" si="0"/>
        <v>6</v>
      </c>
      <c r="D24" s="31">
        <f t="shared" si="0"/>
        <v>21</v>
      </c>
      <c r="E24" s="31">
        <f t="shared" si="0"/>
        <v>22</v>
      </c>
      <c r="F24" s="31">
        <f t="shared" si="0"/>
        <v>1</v>
      </c>
      <c r="G24" s="31">
        <f t="shared" si="0"/>
        <v>0</v>
      </c>
    </row>
  </sheetData>
  <mergeCells count="11">
    <mergeCell ref="A1:G1"/>
    <mergeCell ref="B4:G4"/>
    <mergeCell ref="B5:G5"/>
    <mergeCell ref="B6:G6"/>
    <mergeCell ref="B7:G7"/>
    <mergeCell ref="B8:G8"/>
    <mergeCell ref="A11:G11"/>
    <mergeCell ref="A12:G12"/>
    <mergeCell ref="A13:G13"/>
    <mergeCell ref="A14:G14"/>
    <mergeCell ref="A15:G15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zoomScale="85" zoomScaleNormal="85" workbookViewId="0">
      <selection activeCell="G9" sqref="G9:L9"/>
    </sheetView>
  </sheetViews>
  <sheetFormatPr defaultColWidth="7.89166666666667" defaultRowHeight="18"/>
  <cols>
    <col min="1" max="1" width="7.28333333333333" customWidth="1"/>
    <col min="2" max="2" width="16.3833333333333" customWidth="1"/>
    <col min="3" max="3" width="36.3916666666667" customWidth="1"/>
    <col min="4" max="4" width="34.5666666666667" customWidth="1"/>
    <col min="5" max="6" width="7.28333333333333" customWidth="1"/>
  </cols>
  <sheetData>
    <row r="1" ht="31.5" customHeight="1" spans="1:12">
      <c r="A1" s="1" t="s">
        <v>32</v>
      </c>
      <c r="B1" s="1"/>
      <c r="C1" s="1"/>
      <c r="D1" s="1"/>
      <c r="E1" s="1"/>
      <c r="F1" s="1"/>
    </row>
    <row r="2" ht="9.75" customHeight="1"/>
    <row r="3" ht="27.75" customHeight="1" spans="1:12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</row>
    <row r="4" ht="49.5" customHeight="1" spans="1:12">
      <c r="A4" s="14" t="s">
        <v>39</v>
      </c>
      <c r="B4" s="14" t="s">
        <v>40</v>
      </c>
      <c r="C4" s="14" t="s">
        <v>41</v>
      </c>
      <c r="D4" s="14" t="s">
        <v>42</v>
      </c>
      <c r="E4" s="14" t="s">
        <v>43</v>
      </c>
      <c r="F4" s="14" t="s">
        <v>44</v>
      </c>
      <c r="G4" s="15" t="s">
        <v>45</v>
      </c>
      <c r="H4" s="15"/>
    </row>
    <row r="5" ht="49.5" customHeight="1" spans="1:12">
      <c r="A5" s="16" t="s">
        <v>46</v>
      </c>
      <c r="B5" s="16" t="s">
        <v>47</v>
      </c>
      <c r="C5" s="16" t="s">
        <v>48</v>
      </c>
      <c r="D5" s="16" t="s">
        <v>49</v>
      </c>
      <c r="E5" s="16" t="s">
        <v>50</v>
      </c>
      <c r="F5" s="16" t="s">
        <v>44</v>
      </c>
      <c r="G5" s="15" t="s">
        <v>51</v>
      </c>
      <c r="H5" s="15"/>
    </row>
    <row r="6" ht="49.5" customHeight="1" spans="1:12">
      <c r="A6" s="14" t="s">
        <v>52</v>
      </c>
      <c r="B6" s="14" t="s">
        <v>53</v>
      </c>
      <c r="C6" s="14" t="s">
        <v>54</v>
      </c>
      <c r="D6" s="14" t="s">
        <v>55</v>
      </c>
      <c r="E6" s="14" t="s">
        <v>50</v>
      </c>
      <c r="F6" s="14" t="s">
        <v>44</v>
      </c>
      <c r="G6" s="15" t="s">
        <v>56</v>
      </c>
      <c r="H6" s="15"/>
    </row>
    <row r="7" ht="49.5" customHeight="1" spans="1:12">
      <c r="A7" s="16" t="s">
        <v>57</v>
      </c>
      <c r="B7" s="16" t="s">
        <v>58</v>
      </c>
      <c r="C7" s="16" t="s">
        <v>59</v>
      </c>
      <c r="D7" s="16" t="s">
        <v>60</v>
      </c>
      <c r="E7" s="16" t="s">
        <v>50</v>
      </c>
      <c r="F7" s="16" t="s">
        <v>44</v>
      </c>
      <c r="G7" s="15" t="s">
        <v>61</v>
      </c>
      <c r="H7" s="17"/>
    </row>
    <row r="8" ht="49.5" customHeight="1" spans="1:12">
      <c r="A8" s="14" t="s">
        <v>62</v>
      </c>
      <c r="B8" s="14" t="s">
        <v>63</v>
      </c>
      <c r="C8" s="14" t="s">
        <v>64</v>
      </c>
      <c r="D8" s="14" t="s">
        <v>65</v>
      </c>
      <c r="E8" s="14" t="s">
        <v>66</v>
      </c>
      <c r="F8" s="14" t="s">
        <v>44</v>
      </c>
      <c r="G8" s="15" t="s">
        <v>67</v>
      </c>
      <c r="H8" s="15"/>
    </row>
    <row r="9" ht="49.5" customHeight="1" spans="1:12">
      <c r="A9" s="16" t="s">
        <v>68</v>
      </c>
      <c r="B9" s="16" t="s">
        <v>69</v>
      </c>
      <c r="C9" s="16" t="s">
        <v>70</v>
      </c>
      <c r="D9" s="16" t="s">
        <v>71</v>
      </c>
      <c r="E9" s="16" t="s">
        <v>66</v>
      </c>
      <c r="F9" s="16" t="s">
        <v>44</v>
      </c>
      <c r="G9" s="18" t="s">
        <v>72</v>
      </c>
      <c r="H9" s="18"/>
      <c r="I9" s="18"/>
      <c r="J9" s="18"/>
      <c r="K9" s="18"/>
      <c r="L9" s="18"/>
    </row>
    <row r="10" ht="49.5" customHeight="1" spans="1:12">
      <c r="A10" s="14" t="s">
        <v>73</v>
      </c>
      <c r="B10" s="14" t="s">
        <v>74</v>
      </c>
      <c r="C10" s="14" t="s">
        <v>75</v>
      </c>
      <c r="D10" s="14" t="s">
        <v>76</v>
      </c>
      <c r="E10" s="14" t="s">
        <v>66</v>
      </c>
      <c r="F10" s="14" t="s">
        <v>44</v>
      </c>
      <c r="G10" s="15" t="s">
        <v>77</v>
      </c>
      <c r="H10" s="19"/>
    </row>
    <row r="11" ht="49.5" customHeight="1" spans="1:12">
      <c r="A11" s="16" t="s">
        <v>78</v>
      </c>
      <c r="B11" s="16" t="s">
        <v>79</v>
      </c>
      <c r="C11" s="16" t="s">
        <v>80</v>
      </c>
      <c r="D11" s="16" t="s">
        <v>81</v>
      </c>
      <c r="E11" s="16" t="s">
        <v>50</v>
      </c>
      <c r="F11" s="16" t="s">
        <v>44</v>
      </c>
      <c r="G11" s="15" t="s">
        <v>82</v>
      </c>
      <c r="H11" s="15"/>
    </row>
    <row r="12" ht="49.5" customHeight="1" spans="1:12">
      <c r="A12" s="14" t="s">
        <v>83</v>
      </c>
      <c r="B12" s="14" t="s">
        <v>84</v>
      </c>
      <c r="C12" s="14" t="s">
        <v>85</v>
      </c>
      <c r="D12" s="14" t="s">
        <v>86</v>
      </c>
      <c r="E12" s="14" t="s">
        <v>43</v>
      </c>
      <c r="F12" s="14" t="s">
        <v>44</v>
      </c>
      <c r="G12" s="20" t="s">
        <v>87</v>
      </c>
      <c r="H12" s="20"/>
      <c r="I12" s="20"/>
      <c r="J12" s="20"/>
    </row>
    <row r="13" ht="49.5" customHeight="1" spans="1:12">
      <c r="A13" s="16" t="s">
        <v>88</v>
      </c>
      <c r="B13" s="16" t="s">
        <v>89</v>
      </c>
      <c r="C13" s="16" t="s">
        <v>90</v>
      </c>
      <c r="D13" s="16" t="s">
        <v>91</v>
      </c>
      <c r="E13" s="16" t="s">
        <v>66</v>
      </c>
      <c r="F13" s="16" t="s">
        <v>44</v>
      </c>
      <c r="G13" s="18" t="s">
        <v>92</v>
      </c>
      <c r="H13" s="18"/>
      <c r="I13" s="18"/>
      <c r="J13" s="18"/>
    </row>
  </sheetData>
  <mergeCells count="4">
    <mergeCell ref="A1:F1"/>
    <mergeCell ref="G9:L9"/>
    <mergeCell ref="G12:J12"/>
    <mergeCell ref="G13:J13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ySplit="2" topLeftCell="A4" activePane="bottomLeft" state="frozen"/>
      <selection/>
      <selection pane="bottomLeft" activeCell="A1" sqref="A1:I1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16.3833333333333" customWidth="1"/>
    <col min="9" max="9" width="9.1" customWidth="1"/>
  </cols>
  <sheetData>
    <row r="1" ht="31.5" customHeight="1" spans="1:9">
      <c r="A1" s="1" t="s">
        <v>93</v>
      </c>
      <c r="B1" s="1"/>
      <c r="C1" s="1"/>
      <c r="D1" s="1"/>
      <c r="E1" s="1"/>
      <c r="F1" s="1"/>
      <c r="G1" s="1"/>
      <c r="H1" s="1"/>
      <c r="I1" s="1"/>
    </row>
    <row r="2" ht="27.75" customHeight="1" spans="1:9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101</v>
      </c>
      <c r="I2" s="2" t="s">
        <v>102</v>
      </c>
    </row>
    <row r="3" ht="94.5" customHeight="1" spans="1:9">
      <c r="A3" s="3" t="s">
        <v>103</v>
      </c>
      <c r="B3" s="4" t="s">
        <v>104</v>
      </c>
      <c r="C3" s="5" t="s">
        <v>21</v>
      </c>
      <c r="D3" s="4" t="s">
        <v>105</v>
      </c>
      <c r="E3" s="4" t="s">
        <v>106</v>
      </c>
      <c r="F3" s="4" t="s">
        <v>107</v>
      </c>
      <c r="G3" s="4" t="s">
        <v>108</v>
      </c>
      <c r="H3" s="4"/>
      <c r="I3" s="4"/>
    </row>
    <row r="4" ht="94.5" customHeight="1" spans="1:9">
      <c r="A4" s="6" t="s">
        <v>109</v>
      </c>
      <c r="B4" s="7" t="s">
        <v>110</v>
      </c>
      <c r="C4" s="10" t="s">
        <v>21</v>
      </c>
      <c r="D4" s="7" t="s">
        <v>105</v>
      </c>
      <c r="E4" s="7" t="s">
        <v>111</v>
      </c>
      <c r="F4" s="7" t="s">
        <v>112</v>
      </c>
      <c r="G4" s="7" t="s">
        <v>113</v>
      </c>
      <c r="H4" s="7"/>
      <c r="I4" s="7"/>
    </row>
    <row r="5" ht="94.5" customHeight="1" spans="1:9">
      <c r="A5" s="3" t="s">
        <v>114</v>
      </c>
      <c r="B5" s="4" t="s">
        <v>115</v>
      </c>
      <c r="C5" s="5" t="s">
        <v>21</v>
      </c>
      <c r="D5" s="4" t="s">
        <v>105</v>
      </c>
      <c r="E5" s="4" t="s">
        <v>116</v>
      </c>
      <c r="F5" s="4" t="s">
        <v>117</v>
      </c>
      <c r="G5" s="4" t="s">
        <v>118</v>
      </c>
      <c r="H5" s="4"/>
      <c r="I5" s="4"/>
    </row>
    <row r="6" ht="94.5" customHeight="1" spans="1:9">
      <c r="A6" s="6" t="s">
        <v>119</v>
      </c>
      <c r="B6" s="7" t="s">
        <v>120</v>
      </c>
      <c r="C6" s="8" t="s">
        <v>22</v>
      </c>
      <c r="D6" s="7" t="s">
        <v>105</v>
      </c>
      <c r="E6" s="7" t="s">
        <v>121</v>
      </c>
      <c r="F6" s="7" t="s">
        <v>122</v>
      </c>
      <c r="G6" s="7" t="s">
        <v>123</v>
      </c>
      <c r="H6" s="7"/>
      <c r="I6" s="7"/>
    </row>
    <row r="7" ht="94.5" customHeight="1" spans="1:9">
      <c r="A7" s="3" t="s">
        <v>124</v>
      </c>
      <c r="B7" s="4" t="s">
        <v>125</v>
      </c>
      <c r="C7" s="11" t="s">
        <v>22</v>
      </c>
      <c r="D7" s="4" t="s">
        <v>105</v>
      </c>
      <c r="E7" s="4" t="s">
        <v>126</v>
      </c>
      <c r="F7" s="4" t="s">
        <v>127</v>
      </c>
      <c r="G7" s="4" t="s">
        <v>128</v>
      </c>
      <c r="H7" s="4"/>
      <c r="I7" s="4"/>
    </row>
    <row r="8" ht="94.5" customHeight="1" spans="1:9">
      <c r="A8" s="6" t="s">
        <v>129</v>
      </c>
      <c r="B8" s="7" t="s">
        <v>130</v>
      </c>
      <c r="C8" s="8" t="s">
        <v>22</v>
      </c>
      <c r="D8" s="7" t="s">
        <v>105</v>
      </c>
      <c r="E8" s="7" t="s">
        <v>131</v>
      </c>
      <c r="F8" s="7" t="s">
        <v>132</v>
      </c>
      <c r="G8" s="7" t="s">
        <v>133</v>
      </c>
      <c r="H8" s="7"/>
      <c r="I8" s="7"/>
    </row>
    <row r="9" ht="94.5" customHeight="1" spans="1:9">
      <c r="A9" s="3" t="s">
        <v>134</v>
      </c>
      <c r="B9" s="4" t="s">
        <v>135</v>
      </c>
      <c r="C9" s="5" t="s">
        <v>21</v>
      </c>
      <c r="D9" s="4" t="s">
        <v>105</v>
      </c>
      <c r="E9" s="4" t="s">
        <v>136</v>
      </c>
      <c r="F9" s="4" t="s">
        <v>137</v>
      </c>
      <c r="G9" s="4" t="s">
        <v>138</v>
      </c>
      <c r="H9" s="4"/>
      <c r="I9" s="4"/>
    </row>
    <row r="10" ht="94.5" customHeight="1" spans="1:9">
      <c r="A10" s="6" t="s">
        <v>139</v>
      </c>
      <c r="B10" s="7" t="s">
        <v>140</v>
      </c>
      <c r="C10" s="10" t="s">
        <v>21</v>
      </c>
      <c r="D10" s="7" t="s">
        <v>105</v>
      </c>
      <c r="E10" s="7" t="s">
        <v>141</v>
      </c>
      <c r="F10" s="7" t="s">
        <v>142</v>
      </c>
      <c r="G10" s="7" t="s">
        <v>143</v>
      </c>
      <c r="H10" s="7"/>
      <c r="I10" s="7"/>
    </row>
    <row r="11" ht="94.5" customHeight="1" spans="1:9">
      <c r="A11" s="3" t="s">
        <v>144</v>
      </c>
      <c r="B11" s="4" t="s">
        <v>145</v>
      </c>
      <c r="C11" s="5" t="s">
        <v>21</v>
      </c>
      <c r="D11" s="4" t="s">
        <v>105</v>
      </c>
      <c r="E11" s="4" t="s">
        <v>146</v>
      </c>
      <c r="F11" s="4" t="s">
        <v>147</v>
      </c>
      <c r="G11" s="4" t="s">
        <v>148</v>
      </c>
      <c r="H11" s="4"/>
      <c r="I11" s="4"/>
    </row>
    <row r="12" ht="94.5" customHeight="1" spans="1:9">
      <c r="A12" s="6" t="s">
        <v>149</v>
      </c>
      <c r="B12" s="7" t="s">
        <v>150</v>
      </c>
      <c r="C12" s="10" t="s">
        <v>21</v>
      </c>
      <c r="D12" s="7" t="s">
        <v>105</v>
      </c>
      <c r="E12" s="7" t="s">
        <v>151</v>
      </c>
      <c r="F12" s="7" t="s">
        <v>152</v>
      </c>
      <c r="G12" s="7" t="s">
        <v>153</v>
      </c>
      <c r="H12" s="7"/>
      <c r="I12" s="7"/>
    </row>
  </sheetData>
  <mergeCells count="1">
    <mergeCell ref="A1:I1"/>
  </mergeCells>
  <dataValidations count="1">
    <dataValidation type="list" allowBlank="1" sqref="I3:I12">
      <formula1>"是,否,阻塞,不适用"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16.3833333333333" customWidth="1"/>
    <col min="9" max="9" width="9.1" customWidth="1"/>
  </cols>
  <sheetData>
    <row r="1" ht="31.5" customHeight="1" spans="1:9">
      <c r="A1" s="1" t="s">
        <v>154</v>
      </c>
      <c r="B1" s="1"/>
      <c r="C1" s="1"/>
      <c r="D1" s="1"/>
      <c r="E1" s="1"/>
      <c r="F1" s="1"/>
      <c r="G1" s="1"/>
      <c r="H1" s="1"/>
      <c r="I1" s="1"/>
    </row>
    <row r="2" ht="27.75" customHeight="1" spans="1:9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101</v>
      </c>
      <c r="I2" s="2" t="s">
        <v>102</v>
      </c>
    </row>
    <row r="3" ht="94.5" customHeight="1" spans="1:9">
      <c r="A3" s="3" t="s">
        <v>155</v>
      </c>
      <c r="B3" s="4" t="s">
        <v>156</v>
      </c>
      <c r="C3" s="11" t="s">
        <v>22</v>
      </c>
      <c r="D3" s="4" t="s">
        <v>105</v>
      </c>
      <c r="E3" s="4" t="s">
        <v>157</v>
      </c>
      <c r="F3" s="4" t="s">
        <v>158</v>
      </c>
      <c r="G3" s="4" t="s">
        <v>159</v>
      </c>
      <c r="H3" s="4"/>
      <c r="I3" s="4"/>
    </row>
    <row r="4" ht="94.5" customHeight="1" spans="1:9">
      <c r="A4" s="6" t="s">
        <v>160</v>
      </c>
      <c r="B4" s="7" t="s">
        <v>161</v>
      </c>
      <c r="C4" s="10" t="s">
        <v>21</v>
      </c>
      <c r="D4" s="7" t="s">
        <v>105</v>
      </c>
      <c r="E4" s="7" t="s">
        <v>162</v>
      </c>
      <c r="F4" s="7" t="s">
        <v>163</v>
      </c>
      <c r="G4" s="7" t="s">
        <v>164</v>
      </c>
      <c r="H4" s="7"/>
      <c r="I4" s="7"/>
    </row>
    <row r="5" ht="94.5" customHeight="1" spans="1:9">
      <c r="A5" s="3" t="s">
        <v>165</v>
      </c>
      <c r="B5" s="4" t="s">
        <v>166</v>
      </c>
      <c r="C5" s="5" t="s">
        <v>21</v>
      </c>
      <c r="D5" s="4" t="s">
        <v>105</v>
      </c>
      <c r="E5" s="4" t="s">
        <v>167</v>
      </c>
      <c r="F5" s="4" t="s">
        <v>168</v>
      </c>
      <c r="G5" s="4" t="s">
        <v>169</v>
      </c>
      <c r="H5" s="4"/>
      <c r="I5" s="4"/>
    </row>
    <row r="6" ht="94.5" customHeight="1" spans="1:9">
      <c r="A6" s="6" t="s">
        <v>170</v>
      </c>
      <c r="B6" s="7" t="s">
        <v>171</v>
      </c>
      <c r="C6" s="10" t="s">
        <v>21</v>
      </c>
      <c r="D6" s="7" t="s">
        <v>105</v>
      </c>
      <c r="E6" s="7" t="s">
        <v>172</v>
      </c>
      <c r="F6" s="7" t="s">
        <v>173</v>
      </c>
      <c r="G6" s="7" t="s">
        <v>174</v>
      </c>
      <c r="H6" s="7"/>
      <c r="I6" s="7"/>
    </row>
    <row r="7" ht="94.5" customHeight="1" spans="1:9">
      <c r="A7" s="3" t="s">
        <v>175</v>
      </c>
      <c r="B7" s="4" t="s">
        <v>176</v>
      </c>
      <c r="C7" s="11" t="s">
        <v>22</v>
      </c>
      <c r="D7" s="4" t="s">
        <v>105</v>
      </c>
      <c r="E7" s="4" t="s">
        <v>177</v>
      </c>
      <c r="F7" s="4" t="s">
        <v>178</v>
      </c>
      <c r="G7" s="4" t="s">
        <v>179</v>
      </c>
      <c r="H7" s="4"/>
      <c r="I7" s="4"/>
    </row>
    <row r="8" ht="94.5" customHeight="1" spans="1:9">
      <c r="A8" s="6" t="s">
        <v>180</v>
      </c>
      <c r="B8" s="7" t="s">
        <v>181</v>
      </c>
      <c r="C8" s="10" t="s">
        <v>21</v>
      </c>
      <c r="D8" s="7" t="s">
        <v>105</v>
      </c>
      <c r="E8" s="7" t="s">
        <v>182</v>
      </c>
      <c r="F8" s="7" t="s">
        <v>183</v>
      </c>
      <c r="G8" s="7" t="s">
        <v>184</v>
      </c>
      <c r="H8" s="7"/>
      <c r="I8" s="7"/>
    </row>
    <row r="9" ht="94.5" customHeight="1" spans="1:9">
      <c r="A9" s="3" t="s">
        <v>185</v>
      </c>
      <c r="B9" s="4" t="s">
        <v>186</v>
      </c>
      <c r="C9" s="11" t="s">
        <v>22</v>
      </c>
      <c r="D9" s="4" t="s">
        <v>105</v>
      </c>
      <c r="E9" s="4" t="s">
        <v>187</v>
      </c>
      <c r="F9" s="4" t="s">
        <v>188</v>
      </c>
      <c r="G9" s="4" t="s">
        <v>189</v>
      </c>
      <c r="H9" s="4"/>
      <c r="I9" s="4"/>
    </row>
    <row r="10" ht="94.5" customHeight="1" spans="1:9">
      <c r="A10" s="6" t="s">
        <v>190</v>
      </c>
      <c r="B10" s="7" t="s">
        <v>191</v>
      </c>
      <c r="C10" s="10" t="s">
        <v>21</v>
      </c>
      <c r="D10" s="7" t="s">
        <v>105</v>
      </c>
      <c r="E10" s="7" t="s">
        <v>192</v>
      </c>
      <c r="F10" s="7" t="s">
        <v>193</v>
      </c>
      <c r="G10" s="7" t="s">
        <v>194</v>
      </c>
      <c r="H10" s="7"/>
      <c r="I10" s="7"/>
    </row>
    <row r="11" ht="94.5" customHeight="1" spans="1:9">
      <c r="A11" s="3" t="s">
        <v>195</v>
      </c>
      <c r="B11" s="4" t="s">
        <v>196</v>
      </c>
      <c r="C11" s="11" t="s">
        <v>22</v>
      </c>
      <c r="D11" s="4" t="s">
        <v>105</v>
      </c>
      <c r="E11" s="4" t="s">
        <v>197</v>
      </c>
      <c r="F11" s="4" t="s">
        <v>198</v>
      </c>
      <c r="G11" s="4" t="s">
        <v>199</v>
      </c>
      <c r="H11" s="4"/>
      <c r="I11" s="4"/>
    </row>
    <row r="12" ht="94.5" customHeight="1" spans="1:9">
      <c r="A12" s="6" t="s">
        <v>200</v>
      </c>
      <c r="B12" s="7" t="s">
        <v>201</v>
      </c>
      <c r="C12" s="8" t="s">
        <v>22</v>
      </c>
      <c r="D12" s="7" t="s">
        <v>105</v>
      </c>
      <c r="E12" s="7" t="s">
        <v>202</v>
      </c>
      <c r="F12" s="7" t="s">
        <v>203</v>
      </c>
      <c r="G12" s="7" t="s">
        <v>204</v>
      </c>
      <c r="H12" s="7"/>
      <c r="I12" s="7"/>
    </row>
  </sheetData>
  <mergeCells count="1">
    <mergeCell ref="A1:I1"/>
  </mergeCells>
  <dataValidations count="1">
    <dataValidation type="list" allowBlank="1" sqref="I3:I12">
      <formula1>"是,否,阻塞,不适用"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7.89166666666667" defaultRowHeight="18" outlineLevelRow="6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16.3833333333333" customWidth="1"/>
    <col min="9" max="9" width="9.1" customWidth="1"/>
  </cols>
  <sheetData>
    <row r="1" ht="31.5" customHeight="1" spans="1:9">
      <c r="A1" s="1" t="s">
        <v>205</v>
      </c>
      <c r="B1" s="1"/>
      <c r="C1" s="1"/>
      <c r="D1" s="1"/>
      <c r="E1" s="1"/>
      <c r="F1" s="1"/>
      <c r="G1" s="1"/>
      <c r="H1" s="1"/>
      <c r="I1" s="1"/>
    </row>
    <row r="2" ht="27.75" customHeight="1" spans="1:9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101</v>
      </c>
      <c r="I2" s="2" t="s">
        <v>102</v>
      </c>
    </row>
    <row r="3" ht="94.5" customHeight="1" spans="1:9">
      <c r="A3" s="3" t="s">
        <v>206</v>
      </c>
      <c r="B3" s="4" t="s">
        <v>207</v>
      </c>
      <c r="C3" s="5" t="s">
        <v>21</v>
      </c>
      <c r="D3" s="4" t="s">
        <v>105</v>
      </c>
      <c r="E3" s="4" t="s">
        <v>208</v>
      </c>
      <c r="F3" s="4" t="s">
        <v>209</v>
      </c>
      <c r="G3" s="4" t="s">
        <v>210</v>
      </c>
      <c r="H3" s="4"/>
      <c r="I3" s="4"/>
    </row>
    <row r="4" ht="94.5" customHeight="1" spans="1:9">
      <c r="A4" s="6" t="s">
        <v>211</v>
      </c>
      <c r="B4" s="7" t="s">
        <v>212</v>
      </c>
      <c r="C4" s="8" t="s">
        <v>22</v>
      </c>
      <c r="D4" s="7" t="s">
        <v>105</v>
      </c>
      <c r="E4" s="7" t="s">
        <v>213</v>
      </c>
      <c r="F4" s="7" t="s">
        <v>214</v>
      </c>
      <c r="G4" s="7" t="s">
        <v>215</v>
      </c>
      <c r="H4" s="7"/>
      <c r="I4" s="7"/>
    </row>
    <row r="5" ht="94.5" customHeight="1" spans="1:9">
      <c r="A5" s="3" t="s">
        <v>216</v>
      </c>
      <c r="B5" s="4" t="s">
        <v>217</v>
      </c>
      <c r="C5" s="9" t="s">
        <v>20</v>
      </c>
      <c r="D5" s="4" t="s">
        <v>105</v>
      </c>
      <c r="E5" s="4" t="s">
        <v>218</v>
      </c>
      <c r="F5" s="4" t="s">
        <v>219</v>
      </c>
      <c r="G5" s="4" t="s">
        <v>220</v>
      </c>
      <c r="H5" s="4"/>
      <c r="I5" s="4"/>
    </row>
    <row r="6" ht="94.5" customHeight="1" spans="1:9">
      <c r="A6" s="6" t="s">
        <v>221</v>
      </c>
      <c r="B6" s="7" t="s">
        <v>222</v>
      </c>
      <c r="C6" s="12" t="s">
        <v>20</v>
      </c>
      <c r="D6" s="7" t="s">
        <v>105</v>
      </c>
      <c r="E6" s="7" t="s">
        <v>223</v>
      </c>
      <c r="F6" s="7" t="s">
        <v>224</v>
      </c>
      <c r="G6" s="7" t="s">
        <v>225</v>
      </c>
      <c r="H6" s="7"/>
      <c r="I6" s="7"/>
    </row>
    <row r="7" ht="94.5" customHeight="1" spans="1:9">
      <c r="A7" s="3" t="s">
        <v>226</v>
      </c>
      <c r="B7" s="4" t="s">
        <v>227</v>
      </c>
      <c r="C7" s="5" t="s">
        <v>21</v>
      </c>
      <c r="D7" s="4" t="s">
        <v>105</v>
      </c>
      <c r="E7" s="4" t="s">
        <v>228</v>
      </c>
      <c r="F7" s="4" t="s">
        <v>229</v>
      </c>
      <c r="G7" s="4" t="s">
        <v>230</v>
      </c>
      <c r="H7" s="4"/>
      <c r="I7" s="4"/>
    </row>
  </sheetData>
  <mergeCells count="1">
    <mergeCell ref="A1:I1"/>
  </mergeCells>
  <dataValidations count="1">
    <dataValidation type="list" allowBlank="1" sqref="I3:I7">
      <formula1>"是,否,阻塞,不适用"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16.3833333333333" customWidth="1"/>
    <col min="9" max="9" width="9.1" customWidth="1"/>
  </cols>
  <sheetData>
    <row r="1" ht="31.5" customHeight="1" spans="1:9">
      <c r="A1" s="1" t="s">
        <v>231</v>
      </c>
      <c r="B1" s="1"/>
      <c r="C1" s="1"/>
      <c r="D1" s="1"/>
      <c r="E1" s="1"/>
      <c r="F1" s="1"/>
      <c r="G1" s="1"/>
      <c r="H1" s="1"/>
      <c r="I1" s="1"/>
    </row>
    <row r="2" ht="27.75" customHeight="1" spans="1:9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101</v>
      </c>
      <c r="I2" s="2" t="s">
        <v>102</v>
      </c>
    </row>
    <row r="3" ht="94.5" customHeight="1" spans="1:9">
      <c r="A3" s="3" t="s">
        <v>232</v>
      </c>
      <c r="B3" s="4" t="s">
        <v>233</v>
      </c>
      <c r="C3" s="13" t="s">
        <v>23</v>
      </c>
      <c r="D3" s="4" t="s">
        <v>105</v>
      </c>
      <c r="E3" s="4" t="s">
        <v>234</v>
      </c>
      <c r="F3" s="4" t="s">
        <v>235</v>
      </c>
      <c r="G3" s="4" t="s">
        <v>236</v>
      </c>
      <c r="H3" s="4"/>
      <c r="I3" s="4"/>
    </row>
    <row r="4" ht="94.5" customHeight="1" spans="1:9">
      <c r="A4" s="6" t="s">
        <v>237</v>
      </c>
      <c r="B4" s="7" t="s">
        <v>238</v>
      </c>
      <c r="C4" s="10" t="s">
        <v>21</v>
      </c>
      <c r="D4" s="7" t="s">
        <v>105</v>
      </c>
      <c r="E4" s="7" t="s">
        <v>239</v>
      </c>
      <c r="F4" s="7" t="s">
        <v>240</v>
      </c>
      <c r="G4" s="7" t="s">
        <v>241</v>
      </c>
      <c r="H4" s="7"/>
      <c r="I4" s="7"/>
    </row>
    <row r="5" ht="94.5" customHeight="1" spans="1:9">
      <c r="A5" s="3" t="s">
        <v>242</v>
      </c>
      <c r="B5" s="4" t="s">
        <v>243</v>
      </c>
      <c r="C5" s="11" t="s">
        <v>22</v>
      </c>
      <c r="D5" s="4" t="s">
        <v>105</v>
      </c>
      <c r="E5" s="4" t="s">
        <v>244</v>
      </c>
      <c r="F5" s="4" t="s">
        <v>245</v>
      </c>
      <c r="G5" s="4" t="s">
        <v>246</v>
      </c>
      <c r="H5" s="4"/>
      <c r="I5" s="4"/>
    </row>
    <row r="6" ht="94.5" customHeight="1" spans="1:9">
      <c r="A6" s="6" t="s">
        <v>247</v>
      </c>
      <c r="B6" s="7" t="s">
        <v>248</v>
      </c>
      <c r="C6" s="12" t="s">
        <v>20</v>
      </c>
      <c r="D6" s="7" t="s">
        <v>105</v>
      </c>
      <c r="E6" s="7" t="s">
        <v>249</v>
      </c>
      <c r="F6" s="7" t="s">
        <v>250</v>
      </c>
      <c r="G6" s="7" t="s">
        <v>251</v>
      </c>
      <c r="H6" s="7"/>
      <c r="I6" s="7"/>
    </row>
    <row r="7" ht="94.5" customHeight="1" spans="1:9">
      <c r="A7" s="3" t="s">
        <v>252</v>
      </c>
      <c r="B7" s="4" t="s">
        <v>253</v>
      </c>
      <c r="C7" s="11" t="s">
        <v>22</v>
      </c>
      <c r="D7" s="4" t="s">
        <v>105</v>
      </c>
      <c r="E7" s="4" t="s">
        <v>254</v>
      </c>
      <c r="F7" s="4" t="s">
        <v>255</v>
      </c>
      <c r="G7" s="4" t="s">
        <v>256</v>
      </c>
      <c r="H7" s="4"/>
      <c r="I7" s="4"/>
    </row>
    <row r="8" ht="94.5" customHeight="1" spans="1:9">
      <c r="A8" s="6" t="s">
        <v>257</v>
      </c>
      <c r="B8" s="7" t="s">
        <v>258</v>
      </c>
      <c r="C8" s="8" t="s">
        <v>22</v>
      </c>
      <c r="D8" s="7" t="s">
        <v>105</v>
      </c>
      <c r="E8" s="7" t="s">
        <v>259</v>
      </c>
      <c r="F8" s="7" t="s">
        <v>260</v>
      </c>
      <c r="G8" s="7" t="s">
        <v>261</v>
      </c>
      <c r="H8" s="7"/>
      <c r="I8" s="7"/>
    </row>
    <row r="9" ht="94.5" customHeight="1" spans="1:9">
      <c r="A9" s="3" t="s">
        <v>262</v>
      </c>
      <c r="B9" s="4" t="s">
        <v>263</v>
      </c>
      <c r="C9" s="11" t="s">
        <v>22</v>
      </c>
      <c r="D9" s="4" t="s">
        <v>105</v>
      </c>
      <c r="E9" s="4" t="s">
        <v>264</v>
      </c>
      <c r="F9" s="4" t="s">
        <v>265</v>
      </c>
      <c r="G9" s="4" t="s">
        <v>266</v>
      </c>
      <c r="H9" s="4"/>
      <c r="I9" s="4"/>
    </row>
    <row r="10" ht="94.5" customHeight="1" spans="1:9">
      <c r="A10" s="6" t="s">
        <v>267</v>
      </c>
      <c r="B10" s="7" t="s">
        <v>268</v>
      </c>
      <c r="C10" s="10" t="s">
        <v>21</v>
      </c>
      <c r="D10" s="7" t="s">
        <v>105</v>
      </c>
      <c r="E10" s="7" t="s">
        <v>269</v>
      </c>
      <c r="F10" s="7" t="s">
        <v>270</v>
      </c>
      <c r="G10" s="7" t="s">
        <v>271</v>
      </c>
      <c r="H10" s="7"/>
      <c r="I10" s="7"/>
    </row>
    <row r="11" ht="94.5" customHeight="1" spans="1:9">
      <c r="A11" s="3" t="s">
        <v>272</v>
      </c>
      <c r="B11" s="4" t="s">
        <v>273</v>
      </c>
      <c r="C11" s="11" t="s">
        <v>22</v>
      </c>
      <c r="D11" s="4" t="s">
        <v>105</v>
      </c>
      <c r="E11" s="4" t="s">
        <v>274</v>
      </c>
      <c r="F11" s="4" t="s">
        <v>275</v>
      </c>
      <c r="G11" s="4" t="s">
        <v>276</v>
      </c>
      <c r="H11" s="4"/>
      <c r="I11" s="4"/>
    </row>
    <row r="12" ht="94.5" customHeight="1" spans="1:9">
      <c r="A12" s="6" t="s">
        <v>277</v>
      </c>
      <c r="B12" s="7" t="s">
        <v>278</v>
      </c>
      <c r="C12" s="8" t="s">
        <v>22</v>
      </c>
      <c r="D12" s="7" t="s">
        <v>105</v>
      </c>
      <c r="E12" s="7" t="s">
        <v>279</v>
      </c>
      <c r="F12" s="7" t="s">
        <v>280</v>
      </c>
      <c r="G12" s="7" t="s">
        <v>281</v>
      </c>
      <c r="H12" s="7"/>
      <c r="I12" s="7"/>
    </row>
  </sheetData>
  <mergeCells count="1">
    <mergeCell ref="A1:I1"/>
  </mergeCells>
  <dataValidations count="1">
    <dataValidation type="list" allowBlank="1" sqref="I3:I12">
      <formula1>"是,否,阻塞,不适用"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16.3833333333333" customWidth="1"/>
    <col min="9" max="9" width="9.1" customWidth="1"/>
  </cols>
  <sheetData>
    <row r="1" ht="31.5" customHeight="1" spans="1:9">
      <c r="A1" s="1" t="s">
        <v>282</v>
      </c>
      <c r="B1" s="1"/>
      <c r="C1" s="1"/>
      <c r="D1" s="1"/>
      <c r="E1" s="1"/>
      <c r="F1" s="1"/>
      <c r="G1" s="1"/>
      <c r="H1" s="1"/>
      <c r="I1" s="1"/>
    </row>
    <row r="2" ht="27.75" customHeight="1" spans="1:9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101</v>
      </c>
      <c r="I2" s="2" t="s">
        <v>102</v>
      </c>
    </row>
    <row r="3" ht="94.5" customHeight="1" spans="1:9">
      <c r="A3" s="3" t="s">
        <v>283</v>
      </c>
      <c r="B3" s="4" t="s">
        <v>284</v>
      </c>
      <c r="C3" s="5" t="s">
        <v>21</v>
      </c>
      <c r="D3" s="4" t="s">
        <v>105</v>
      </c>
      <c r="E3" s="4" t="s">
        <v>285</v>
      </c>
      <c r="F3" s="4" t="s">
        <v>286</v>
      </c>
      <c r="G3" s="4" t="s">
        <v>287</v>
      </c>
      <c r="H3" s="4"/>
      <c r="I3" s="4"/>
    </row>
    <row r="4" ht="94.5" customHeight="1" spans="1:9">
      <c r="A4" s="6" t="s">
        <v>288</v>
      </c>
      <c r="B4" s="7" t="s">
        <v>289</v>
      </c>
      <c r="C4" s="10" t="s">
        <v>21</v>
      </c>
      <c r="D4" s="7" t="s">
        <v>105</v>
      </c>
      <c r="E4" s="7" t="s">
        <v>290</v>
      </c>
      <c r="F4" s="7" t="s">
        <v>291</v>
      </c>
      <c r="G4" s="7" t="s">
        <v>292</v>
      </c>
      <c r="H4" s="7"/>
      <c r="I4" s="7"/>
    </row>
    <row r="5" ht="94.5" customHeight="1" spans="1:9">
      <c r="A5" s="3" t="s">
        <v>293</v>
      </c>
      <c r="B5" s="4" t="s">
        <v>294</v>
      </c>
      <c r="C5" s="11" t="s">
        <v>22</v>
      </c>
      <c r="D5" s="4" t="s">
        <v>105</v>
      </c>
      <c r="E5" s="4" t="s">
        <v>295</v>
      </c>
      <c r="F5" s="4" t="s">
        <v>296</v>
      </c>
      <c r="G5" s="4" t="s">
        <v>297</v>
      </c>
      <c r="H5" s="4"/>
      <c r="I5" s="4"/>
    </row>
    <row r="6" ht="94.5" customHeight="1" spans="1:9">
      <c r="A6" s="6" t="s">
        <v>298</v>
      </c>
      <c r="B6" s="7" t="s">
        <v>299</v>
      </c>
      <c r="C6" s="12" t="s">
        <v>20</v>
      </c>
      <c r="D6" s="7" t="s">
        <v>105</v>
      </c>
      <c r="E6" s="7" t="s">
        <v>300</v>
      </c>
      <c r="F6" s="7" t="s">
        <v>301</v>
      </c>
      <c r="G6" s="7" t="s">
        <v>302</v>
      </c>
      <c r="H6" s="7"/>
      <c r="I6" s="7"/>
    </row>
    <row r="7" ht="94.5" customHeight="1" spans="1:9">
      <c r="A7" s="3" t="s">
        <v>303</v>
      </c>
      <c r="B7" s="4" t="s">
        <v>304</v>
      </c>
      <c r="C7" s="11" t="s">
        <v>22</v>
      </c>
      <c r="D7" s="4" t="s">
        <v>105</v>
      </c>
      <c r="E7" s="4" t="s">
        <v>305</v>
      </c>
      <c r="F7" s="4" t="s">
        <v>306</v>
      </c>
      <c r="G7" s="4" t="s">
        <v>307</v>
      </c>
      <c r="H7" s="4"/>
      <c r="I7" s="4"/>
    </row>
    <row r="8" ht="94.5" customHeight="1" spans="1:9">
      <c r="A8" s="6" t="s">
        <v>308</v>
      </c>
      <c r="B8" s="7" t="s">
        <v>309</v>
      </c>
      <c r="C8" s="8" t="s">
        <v>22</v>
      </c>
      <c r="D8" s="7" t="s">
        <v>105</v>
      </c>
      <c r="E8" s="7" t="s">
        <v>310</v>
      </c>
      <c r="F8" s="7" t="s">
        <v>311</v>
      </c>
      <c r="G8" s="7" t="s">
        <v>312</v>
      </c>
      <c r="H8" s="7"/>
      <c r="I8" s="7"/>
    </row>
    <row r="9" ht="94.5" customHeight="1" spans="1:9">
      <c r="A9" s="3" t="s">
        <v>313</v>
      </c>
      <c r="B9" s="4" t="s">
        <v>314</v>
      </c>
      <c r="C9" s="5" t="s">
        <v>21</v>
      </c>
      <c r="D9" s="4" t="s">
        <v>105</v>
      </c>
      <c r="E9" s="4" t="s">
        <v>315</v>
      </c>
      <c r="F9" s="4" t="s">
        <v>316</v>
      </c>
      <c r="G9" s="4" t="s">
        <v>317</v>
      </c>
      <c r="H9" s="4"/>
      <c r="I9" s="4"/>
    </row>
    <row r="10" ht="94.5" customHeight="1" spans="1:9">
      <c r="A10" s="6" t="s">
        <v>318</v>
      </c>
      <c r="B10" s="7" t="s">
        <v>319</v>
      </c>
      <c r="C10" s="8" t="s">
        <v>22</v>
      </c>
      <c r="D10" s="7" t="s">
        <v>105</v>
      </c>
      <c r="E10" s="7" t="s">
        <v>320</v>
      </c>
      <c r="F10" s="7" t="s">
        <v>321</v>
      </c>
      <c r="G10" s="7" t="s">
        <v>322</v>
      </c>
      <c r="H10" s="7"/>
      <c r="I10" s="7"/>
    </row>
    <row r="11" ht="94.5" customHeight="1" spans="1:9">
      <c r="A11" s="3" t="s">
        <v>323</v>
      </c>
      <c r="B11" s="4" t="s">
        <v>324</v>
      </c>
      <c r="C11" s="11" t="s">
        <v>22</v>
      </c>
      <c r="D11" s="4" t="s">
        <v>105</v>
      </c>
      <c r="E11" s="4" t="s">
        <v>325</v>
      </c>
      <c r="F11" s="4" t="s">
        <v>326</v>
      </c>
      <c r="G11" s="4" t="s">
        <v>327</v>
      </c>
      <c r="H11" s="4"/>
      <c r="I11" s="4"/>
    </row>
    <row r="12" ht="94.5" customHeight="1" spans="1:9">
      <c r="A12" s="6" t="s">
        <v>328</v>
      </c>
      <c r="B12" s="7" t="s">
        <v>329</v>
      </c>
      <c r="C12" s="12" t="s">
        <v>20</v>
      </c>
      <c r="D12" s="7" t="s">
        <v>105</v>
      </c>
      <c r="E12" s="7" t="s">
        <v>330</v>
      </c>
      <c r="F12" s="7" t="s">
        <v>331</v>
      </c>
      <c r="G12" s="7" t="s">
        <v>332</v>
      </c>
      <c r="H12" s="7"/>
      <c r="I12" s="7"/>
    </row>
  </sheetData>
  <mergeCells count="1">
    <mergeCell ref="A1:I1"/>
  </mergeCells>
  <dataValidations count="1">
    <dataValidation type="list" allowBlank="1" sqref="I3:I12">
      <formula1>"是,否,阻塞,不适用"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85" zoomScaleNormal="85" workbookViewId="0">
      <pane ySplit="2" topLeftCell="A3" activePane="bottomLeft" state="frozen"/>
      <selection/>
      <selection pane="bottomLeft" activeCell="A1" sqref="A1:I1"/>
    </sheetView>
  </sheetViews>
  <sheetFormatPr defaultColWidth="7.89166666666667" defaultRowHeight="18" outlineLevelRow="6"/>
  <cols>
    <col min="1" max="1" width="14.5583333333333" customWidth="1"/>
    <col min="2" max="2" width="25.4666666666667" customWidth="1"/>
    <col min="3" max="3" width="7.28333333333333" customWidth="1"/>
    <col min="4" max="4" width="9.1" customWidth="1"/>
    <col min="5" max="5" width="27.3" customWidth="1"/>
    <col min="6" max="6" width="40.0333333333333" customWidth="1"/>
    <col min="7" max="7" width="41.85" customWidth="1"/>
    <col min="8" max="8" width="16.3833333333333" customWidth="1"/>
    <col min="9" max="9" width="9.1" customWidth="1"/>
  </cols>
  <sheetData>
    <row r="1" ht="31.5" customHeight="1" spans="1:9">
      <c r="A1" s="1" t="s">
        <v>333</v>
      </c>
      <c r="B1" s="1"/>
      <c r="C1" s="1"/>
      <c r="D1" s="1"/>
      <c r="E1" s="1"/>
      <c r="F1" s="1"/>
      <c r="G1" s="1"/>
      <c r="H1" s="1"/>
      <c r="I1" s="1"/>
    </row>
    <row r="2" ht="27.75" customHeight="1" spans="1:9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101</v>
      </c>
      <c r="I2" s="2" t="s">
        <v>102</v>
      </c>
    </row>
    <row r="3" ht="94.5" customHeight="1" spans="1:9">
      <c r="A3" s="3" t="s">
        <v>334</v>
      </c>
      <c r="B3" s="4" t="s">
        <v>335</v>
      </c>
      <c r="C3" s="5" t="s">
        <v>21</v>
      </c>
      <c r="D3" s="4" t="s">
        <v>105</v>
      </c>
      <c r="E3" s="4" t="s">
        <v>336</v>
      </c>
      <c r="F3" s="4" t="s">
        <v>337</v>
      </c>
      <c r="G3" s="4" t="s">
        <v>338</v>
      </c>
      <c r="H3" s="4"/>
      <c r="I3" s="4"/>
    </row>
    <row r="4" ht="94.5" customHeight="1" spans="1:9">
      <c r="A4" s="6" t="s">
        <v>339</v>
      </c>
      <c r="B4" s="7" t="s">
        <v>340</v>
      </c>
      <c r="C4" s="8" t="s">
        <v>22</v>
      </c>
      <c r="D4" s="7" t="s">
        <v>105</v>
      </c>
      <c r="E4" s="7" t="s">
        <v>341</v>
      </c>
      <c r="F4" s="7" t="s">
        <v>342</v>
      </c>
      <c r="G4" s="7" t="s">
        <v>343</v>
      </c>
      <c r="H4" s="7"/>
      <c r="I4" s="7"/>
    </row>
    <row r="5" ht="94.5" customHeight="1" spans="1:9">
      <c r="A5" s="3" t="s">
        <v>344</v>
      </c>
      <c r="B5" s="4" t="s">
        <v>345</v>
      </c>
      <c r="C5" s="9" t="s">
        <v>20</v>
      </c>
      <c r="D5" s="4" t="s">
        <v>105</v>
      </c>
      <c r="E5" s="4" t="s">
        <v>346</v>
      </c>
      <c r="F5" s="4" t="s">
        <v>347</v>
      </c>
      <c r="G5" s="4" t="s">
        <v>348</v>
      </c>
      <c r="H5" s="4"/>
      <c r="I5" s="4"/>
    </row>
    <row r="6" ht="94.5" customHeight="1" spans="1:9">
      <c r="A6" s="6" t="s">
        <v>349</v>
      </c>
      <c r="B6" s="7" t="s">
        <v>350</v>
      </c>
      <c r="C6" s="10" t="s">
        <v>21</v>
      </c>
      <c r="D6" s="7" t="s">
        <v>105</v>
      </c>
      <c r="E6" s="7" t="s">
        <v>351</v>
      </c>
      <c r="F6" s="7" t="s">
        <v>352</v>
      </c>
      <c r="G6" s="7" t="s">
        <v>353</v>
      </c>
      <c r="H6" s="7"/>
      <c r="I6" s="7"/>
    </row>
    <row r="7" ht="94.5" customHeight="1" spans="1:9">
      <c r="A7" s="3" t="s">
        <v>354</v>
      </c>
      <c r="B7" s="4" t="s">
        <v>355</v>
      </c>
      <c r="C7" s="11" t="s">
        <v>22</v>
      </c>
      <c r="D7" s="4" t="s">
        <v>105</v>
      </c>
      <c r="E7" s="4" t="s">
        <v>356</v>
      </c>
      <c r="F7" s="4" t="s">
        <v>357</v>
      </c>
      <c r="G7" s="4" t="s">
        <v>358</v>
      </c>
      <c r="H7" s="4"/>
      <c r="I7" s="4"/>
    </row>
  </sheetData>
  <mergeCells count="1">
    <mergeCell ref="A1:I1"/>
  </mergeCells>
  <dataValidations count="1">
    <dataValidation type="list" allowBlank="1" sqref="I3:I7">
      <formula1>"是,否,阻塞,不适用"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LibreOffice/26.2.2.2$Windows_X86_64 LibreOffice_project/1f77d10d6938fd34972958f64b2bcfa54f8b1ba5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用例统计</vt:lpstr>
      <vt:lpstr>缺失分析与优化记录</vt:lpstr>
      <vt:lpstr>用户信息与等级权益展示</vt:lpstr>
      <vt:lpstr>等级奖励与权益对比</vt:lpstr>
      <vt:lpstr>等级升级与经验获取逻辑</vt:lpstr>
      <vt:lpstr>经验记录列表与交互</vt:lpstr>
      <vt:lpstr>接口一致性与异常边界</vt:lpstr>
      <vt:lpstr>数据展示与体验安全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初尘</cp:lastModifiedBy>
  <cp:revision>0</cp:revision>
  <dcterms:created xsi:type="dcterms:W3CDTF">2026-07-17T11:13:00Z</dcterms:created>
  <dcterms:modified xsi:type="dcterms:W3CDTF">2026-07-20T02:06:32Z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14FD8E9A2782437DBB16FE986AE82896_12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