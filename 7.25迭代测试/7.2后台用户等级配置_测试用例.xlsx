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tabRatio="500" activeTab="4"/>
  </bookViews>
  <sheets>
    <sheet name="用例统计" sheetId="1" r:id="rId1"/>
    <sheet name="缺失分析与优化记录" sheetId="2" state="hidden" r:id="rId2"/>
    <sheet name="列表展示与字段校验" sheetId="3" r:id="rId3"/>
    <sheet name="等级新增编辑配置" sheetId="4" r:id="rId4"/>
    <sheet name="经验阈值与升降级" sheetId="5" r:id="rId5"/>
    <sheet name="权益折扣与奖励生命周期" sheetId="6" r:id="rId6"/>
    <sheet name="状态停用删除与序号规则" sheetId="7" r:id="rId7"/>
    <sheet name="权限审计与安全可见性" sheetId="8" r:id="rId8"/>
    <sheet name="兼容性性能与回归"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<sst xmlns="http://schemas.openxmlformats.org/spreadsheetml/2006/main" count="792" uniqueCount="505">
  <si>
    <t>后台用户等级配置 - 测试用例统计</t>
  </si>
  <si>
    <t>优先级定义标准:</t>
  </si>
  <si>
    <t>P1(阻断级)</t>
  </si>
  <si>
    <t>核心配置不可用、资金/权益计算错误、权限绕过、数据不可恢复。发版前必须100%通过</t>
  </si>
  <si>
    <t>P2(核心功能)</t>
  </si>
  <si>
    <t>主要业务规则异常、阈值升降级、启停删除、奖励生命周期异常。发版前必须通过</t>
  </si>
  <si>
    <t>P3(重要功能)</t>
  </si>
  <si>
    <t>搜索筛选、导出、审计、脱敏、异常提示等重要但非阻断问题。发版前应通过</t>
  </si>
  <si>
    <t>P4(一般功能)</t>
  </si>
  <si>
    <t>展示、兼容、交互体验、长文本、空状态等一般问题。可跟随迭代修复</t>
  </si>
  <si>
    <t>P5(优化建议)</t>
  </si>
  <si>
    <t>窄屏适配、无障碍、体验微调等优化建议</t>
  </si>
  <si>
    <t>优化说明:</t>
  </si>
  <si>
    <t>• 统计页使用Excel公式按各用例Sheet动态计算，避免手写聚合数值</t>
  </si>
  <si>
    <t>• 同类边界值、同对象多字段、同操作多对象已合并为子步骤，避免过度拆分</t>
  </si>
  <si>
    <t>• 权限、安全、审计、缓存一致性、导出脱敏、搜索筛选分页等后台通用风险已补充</t>
  </si>
  <si>
    <t>• 8个待确认项(G002/G010-G016)已全部确认为已确认，新增用户确认说明列</t>
  </si>
  <si>
    <t>模块</t>
  </si>
  <si>
    <t>用例数</t>
  </si>
  <si>
    <t>P1</t>
  </si>
  <si>
    <t>P2</t>
  </si>
  <si>
    <t>P3</t>
  </si>
  <si>
    <t>P4</t>
  </si>
  <si>
    <t>P5</t>
  </si>
  <si>
    <t>列表展示与字段校验</t>
  </si>
  <si>
    <t>等级新增编辑配置</t>
  </si>
  <si>
    <t>经验阈值与升降级</t>
  </si>
  <si>
    <t>权益折扣与奖励生命周期</t>
  </si>
  <si>
    <t>状态停用删除与序号规则</t>
  </si>
  <si>
    <t>权限审计与安全可见性</t>
  </si>
  <si>
    <t>兼容性性能与回归</t>
  </si>
  <si>
    <t>合计</t>
  </si>
  <si>
    <t>后台用户等级配置 - 缺失分析与优化记录</t>
  </si>
  <si>
    <t>编号</t>
  </si>
  <si>
    <t>缺失/优化项</t>
  </si>
  <si>
    <t>原因分析</t>
  </si>
  <si>
    <t>处理措施</t>
  </si>
  <si>
    <t>严重度</t>
  </si>
  <si>
    <t>状态</t>
  </si>
  <si>
    <t>用户确认说明</t>
  </si>
  <si>
    <t>G002</t>
  </si>
  <si>
    <t>经验金额小数取整规则需确认</t>
  </si>
  <si>
    <t>需求仅说明消费1元=10经验，未说明小数金额、退款或优惠抵扣后的经验口径</t>
  </si>
  <si>
    <t>已确认: 消费为整数为主，小数0.1代表1经验，两分位小数四舍五入</t>
  </si>
  <si>
    <t>已确认</t>
  </si>
  <si>
    <t>无小数情况，消费为整数为主，如果出现小数0.1代表1经验，两分位小数四舍五入</t>
  </si>
  <si>
    <t>G003</t>
  </si>
  <si>
    <t>搜索筛选分页未在需求正文明确</t>
  </si>
  <si>
    <t>后台列表常用能力未明确是否本期提供</t>
  </si>
  <si>
    <t>在兼容性性能与回归模块补充搜索、筛选、分页边界用例</t>
  </si>
  <si>
    <t>已补充</t>
  </si>
  <si>
    <t>G004</t>
  </si>
  <si>
    <t>导出能力未明确</t>
  </si>
  <si>
    <t>需求未说明等级配置是否支持导出，但后台数据常涉及审计与运营查看</t>
  </si>
  <si>
    <t>按安全项补充导出权限和脱敏验证，若无导出入口则记录为不适用</t>
  </si>
  <si>
    <t>G005</t>
  </si>
  <si>
    <t>缓存TTL与失效机制未明确</t>
  </si>
  <si>
    <t>持续权益改后实时生效依赖缓存失效策略</t>
  </si>
  <si>
    <t>在ULC-EXP-008和ULC-BEN-006中验证多端实时一致性</t>
  </si>
  <si>
    <t>G006</t>
  </si>
  <si>
    <t>删除非Lv.1等级的具体条件需确认</t>
  </si>
  <si>
    <t>需求仅说明可能需满足无用户才可删除</t>
  </si>
  <si>
    <t>已确认: 只能删除最后等级且无用户存在，不考虑数据迁移</t>
  </si>
  <si>
    <t>有且只能删除最后的等级且在该等级无用户存在的情况下才能删除，不要考虑数据乔迁问题</t>
  </si>
  <si>
    <t>G007</t>
  </si>
  <si>
    <t>奖励服务失败补偿机制需确认</t>
  </si>
  <si>
    <t>首次升级奖励发放涉及券服务，需求未说明失败补偿</t>
  </si>
  <si>
    <t>在ULC-BEN-008中覆盖失败、重试和幂等</t>
  </si>
  <si>
    <t>G008</t>
  </si>
  <si>
    <t>审计日志字段未明确</t>
  </si>
  <si>
    <t>后台配置变更风险较高，需求未列出审计字段</t>
  </si>
  <si>
    <t>补充操作者、时间、IP、变更前后值等审计断言</t>
  </si>
  <si>
    <t>G009</t>
  </si>
  <si>
    <t>会员人数钻取与敏感信息展示范围未明确</t>
  </si>
  <si>
    <t>当前会员人数只读，但是否可钻取用户列表未说明</t>
  </si>
  <si>
    <t>补充脱敏、角色权限、导出一致性验证</t>
  </si>
  <si>
    <t>G010</t>
  </si>
  <si>
    <t>权益订单快照规则需确认</t>
  </si>
  <si>
    <t>权益修改实时生效，但历史订单和下单中订单使用新旧配置边界未明确</t>
  </si>
  <si>
    <t>已确认: 历史不管，以实际时间为准</t>
  </si>
  <si>
    <t>历史不管，以实际时间为准</t>
  </si>
  <si>
    <t>G011</t>
  </si>
  <si>
    <t>调高阈值时用户正在下单的折扣口径</t>
  </si>
  <si>
    <t>阈值调高触发降级，但用户正在下单过程中，折扣按旧等级还是新等级计算未明确</t>
  </si>
  <si>
    <t>已确认: 按实时等级折扣计算，以下单时为准，不对订单回滚</t>
  </si>
  <si>
    <t>调高阈值，用户正在下单过程中，折扣按实时等级折扣计算，如果降级或者升级了，无表示，以下单时的折扣为准，不对订单进行回滚</t>
  </si>
  <si>
    <t>G012</t>
  </si>
  <si>
    <t>删除等级时用户数据迁移规则</t>
  </si>
  <si>
    <t>需求仅说明有用户禁止删除，但若未来允许迁移删除，原等级用户归属未定义</t>
  </si>
  <si>
    <t>已确认: 只能删除最后等级且无用户，不考虑数据迁移</t>
  </si>
  <si>
    <t>G013</t>
  </si>
  <si>
    <t>手动修改用户等级后会员人数同步</t>
  </si>
  <si>
    <t>用户管理模块手动改用户等级时，等级配置页当前会员人数是否实时同步未明确</t>
  </si>
  <si>
    <t>已确认: 手动修改等级成功后，后台数据实时同步</t>
  </si>
  <si>
    <t>手动修改等级成功后，后台数据实时同步</t>
  </si>
  <si>
    <t>G014</t>
  </si>
  <si>
    <t>折扣与优惠券叠加计算顺序未定义</t>
  </si>
  <si>
    <t>用户既有等级折扣又持优惠券，先打折再减券还是先减券再打折未在需求中明确</t>
  </si>
  <si>
    <t>已确认: 先优惠券，后应付金额×折扣，最后为付款金额</t>
  </si>
  <si>
    <t>先优惠劵后以应付金额在乘以折扣，最后的才是付款金额</t>
  </si>
  <si>
    <t>G015</t>
  </si>
  <si>
    <t>停用等级期间经验积累恢复规则</t>
  </si>
  <si>
    <t>等级停用期间用户积累的经验，在等级重新启用后是否自动恢复该等级身份未明确</t>
  </si>
  <si>
    <t>已确认: 开启新等级时，用户经验值足够就自动升级</t>
  </si>
  <si>
    <t>有且只能删除最后的等级且在该等级无用户存在的情况下才能删除，当开启新等级情况下有，用户经验值足够就自动升级</t>
  </si>
  <si>
    <t>G016</t>
  </si>
  <si>
    <t>租金补贴是否支持小数</t>
  </si>
  <si>
    <t>需求示例均为整数(0/+1/+2/+3)，但未明确是否允许小数(如+1.5)</t>
  </si>
  <si>
    <t>已确认: 会存小数点情况，最多两分位小数，如9.11</t>
  </si>
  <si>
    <t>会存小数点情况，要考虑，会有最多两分位小数，如9.11</t>
  </si>
  <si>
    <t>后台用户等级配置 - 列表展示与字段校验</t>
  </si>
  <si>
    <t>用例编号</t>
  </si>
  <si>
    <t>测试项</t>
  </si>
  <si>
    <t>优先级</t>
  </si>
  <si>
    <t>归属版本</t>
  </si>
  <si>
    <t>前置条件</t>
  </si>
  <si>
    <t>输入/执行步骤</t>
  </si>
  <si>
    <t>预计结果</t>
  </si>
  <si>
    <t>实际结果</t>
  </si>
  <si>
    <t>是否通过</t>
  </si>
  <si>
    <t>ULC-LS-001</t>
  </si>
  <si>
    <t>等级列表默认字段展示完整性</t>
  </si>
  <si>
    <t>V1.0</t>
  </si>
  <si>
    <t>后台存在Lv.1-Lv.5等级配置数据，管理员已登录</t>
  </si>
  <si>
    <t>1. 进入后台用户等级配置页
2. 查看列表字段、默认排序和操作列
3. 对照需求字段逐项核验：等级序号、名称、所需经验、租金补贴、购买折扣、租赁折扣、代售折扣、免押金、首次升级奖励、积分奖励开关、当前会员人数、状态
4. 检查操作列按钮完整性（编辑/停用/删除）</t>
  </si>
  <si>
    <t>展示全部13个字段且无错位、缺失或乱码；等级按Lv.1→Lv.5递增展示；Lv.1操作列无停用和删除按钮，其他等级有编辑/停用/删除按钮</t>
  </si>
  <si>
    <t>展示正常</t>
  </si>
  <si>
    <t>PASS</t>
  </si>
  <si>
    <t>ULC-LS-002</t>
  </si>
  <si>
    <t>Lv编号与等级名称映射展示</t>
  </si>
  <si>
    <t>系统配置Lv.1普通用户、Lv.2青铜、Lv.3白银、Lv.4黄金、Lv.5钻石</t>
  </si>
  <si>
    <t>1. 打开等级列表
2. 核对Lv编号与名称对应关系
3. 编辑Lv.2名称为「青铜会员」并保存
4. 返回列表复核Lv编号是否仍为Lv.2
5. 检查排序是否仍按Lv递增</t>
  </si>
  <si>
    <t>Lv编号固定不随名称修改而改变；名称修改后仅展示名称变化；不存在名称修改导致Lv编号错乱或排序变化</t>
  </si>
  <si>
    <t>ULC-LS-003</t>
  </si>
  <si>
    <t>当前会员人数只读与实时统计</t>
  </si>
  <si>
    <t>各等级已有不同数量用户；具备数据库或后台统计对照数据</t>
  </si>
  <si>
    <t>1. 查看当前会员人数列
2. 尝试编辑当前会员人数字段
3. 修改经验阈值触发升降级后刷新列表
4. 对照数据库COUNT查询验证人数一致性
5. 在用户管理模块手动修改某用户等级后回到配置页检查人数是否同步</t>
  </si>
  <si>
    <t>当前会员人数仅展示不可编辑；人数与后端统计一致；阈值调整导致用户升降级后人数实时变化；跨模块手动改等级成功后后台数据实时同步，无缓存滞后或负数</t>
  </si>
  <si>
    <t>后台可查看当前等级人数</t>
  </si>
  <si>
    <t>ULC-LS-004</t>
  </si>
  <si>
    <t>等级名称长度与字符边界校验</t>
  </si>
  <si>
    <t>管理员进入编辑弹窗或编辑页</t>
  </si>
  <si>
    <t>1. 输入1个字、2个字、10个字、11个字名称
2. 输入空格、特殊符号、重复名称
3. 分别点击保存</t>
  </si>
  <si>
    <t>名称2-10字校验生效；空值、纯空格、超长和重复名称被后端参数校验拦截；合法名称保存成功并刷新列表</t>
  </si>
  <si>
    <t>校验完整；保留合法名称</t>
  </si>
  <si>
    <t>ULC-LS-005</t>
  </si>
  <si>
    <t>所需经验字段范围与递增校验</t>
  </si>
  <si>
    <t>已有Lv.1-Lv.5配置</t>
  </si>
  <si>
    <t>1. 将Lv.1经验设置为0和非0
2. 将非Lv.1经验设置为0、负数、小数、非数字
3. 将某等级经验设置为小于或等于上一级</t>
  </si>
  <si>
    <t>Lv.1可设为0；非Lv.1必须为大于0的整数；经验值必须严格大于上一级；非法值由前端提示且由后端参数校验拦截</t>
  </si>
  <si>
    <t>经验值必须严格大于上一级；非法值拦截</t>
  </si>
  <si>
    <t>ULC-LS-006</t>
  </si>
  <si>
    <t>折扣字段范围与整数校验</t>
  </si>
  <si>
    <t>进入任一等级编辑页</t>
  </si>
  <si>
    <t>1. 对购买折扣、租赁折扣、代售折扣分别输入1、95、100
2. 输入0、101、小数、字母、空值
3. 保存并查看列表展示</t>
  </si>
  <si>
    <t>折扣范围为1-100整数；100展示为无折扣或原价口径；95展示为9.5折口径；非法值不可保存且错误提示明确</t>
  </si>
  <si>
    <t>ULC-LS-007</t>
  </si>
  <si>
    <t>租金补贴比例字段展示与计算提示</t>
  </si>
  <si>
    <t>等级配置页可编辑租金补贴比例</t>
  </si>
  <si>
    <t>1. 查看租金补贴比例说明
2. 输入0、1、2、3等合法整数值
3. 输入小数值(如1.5、9.11)验证是否允许保存
4. 输入负数、超过两分位小数(如1.234)、超大值并保存
5. 验证小数保留规则(最多两分位)</t>
  </si>
  <si>
    <t>0表示无补贴；合法整数值保存成功；小数允许保存且最多保留两分位(如9.11)；非法值被拦截；页面说明包含买家租金=总价值×100/(卖家比例-收费比例+等级补贴)</t>
  </si>
  <si>
    <t>补贴比例正确；非法值被拦截</t>
  </si>
  <si>
    <t>ULC-LS-008</t>
  </si>
  <si>
    <t>长名称和长奖励文案展示不溢出</t>
  </si>
  <si>
    <t>存在接近10字等级名称和较长首次升级奖励文案</t>
  </si>
  <si>
    <t>1. 配置最长合法名称
2. 配置较长奖励描述
3. 在不同分辨率下查看列表</t>
  </si>
  <si>
    <t>单元格自动换行或省略展示合理；操作按钮不被挤压；悬浮或详情可查看完整内容；不出现遮挡、错行、横向异常滚动</t>
  </si>
  <si>
    <t>文案显示正确无误</t>
  </si>
  <si>
    <t>ULC-LS-009</t>
  </si>
  <si>
    <t>空数据与加载失败展示</t>
  </si>
  <si>
    <t>可模拟接口返回空数组、超时或500错误</t>
  </si>
  <si>
    <t>1. 模拟列表无数据
2. 模拟列表接口超时
3. 模拟服务端500错误</t>
  </si>
  <si>
    <t>空数据展示空状态文案；超时/500展示错误提示和重试入口；不展示旧数据冒充新结果；控制台无未捕获异常</t>
  </si>
  <si>
    <t>备注可选填，超过200字禁止输入；不展示旧数据；空状态无异常无报错</t>
  </si>
  <si>
    <t>后台用户等级配置 - 等级新增编辑配置</t>
  </si>
  <si>
    <t>ULC-CFG-001</t>
  </si>
  <si>
    <t>按序新增等级成功</t>
  </si>
  <si>
    <t>当前最高等级为Lv.5，系统允许继续新增Lv.6</t>
  </si>
  <si>
    <t>1. 点击新增等级按钮
2. 填写合法名称、经验阈值、折扣、补贴、奖励和状态
3. 保存后查看列表
4. 查看审计日志是否记录新增操作
5. 检查新增等级是否可被用户侧正确读取</t>
  </si>
  <si>
    <t>新增等级序号自动为最高等级+1（Lv.6）；不可手工选择跳号；保存成功后列表新增Lv.6并位于末尾；审计日志记录新增操作者、时间和内容；用户侧可正确读取新等级配置</t>
  </si>
  <si>
    <t>创建成功，显示正常</t>
  </si>
  <si>
    <t>ULC-CFG-002</t>
  </si>
  <si>
    <t>新增等级不可跳号</t>
  </si>
  <si>
    <t>当前最高等级为Lv.5；具备接口调试能力</t>
  </si>
  <si>
    <t>1. 通过前端尝试新增Lv.7（跳过Lv.6）
2. 通过接口直接提交level=7
3. 查看保存结果和错误提示
4. 查看数据库是否产生Lv.7脏数据</t>
  </si>
  <si>
    <t>前端不提供跳号入口；接口请求被后端参数校验拦截；返回明确错误提示；数据库不产生Lv.7脏数据</t>
  </si>
  <si>
    <t>新增等级不可跳号，为系统自动调整</t>
  </si>
  <si>
    <t>ULC-CFG-003</t>
  </si>
  <si>
    <t>编辑等级基础信息成功</t>
  </si>
  <si>
    <t>存在非Lv.1等级且无并发编辑</t>
  </si>
  <si>
    <t>1. 编辑等级名称、经验阈值、折扣、补贴、免押金、奖励
2. 保存
3. 刷新页面和重新登录后复核
4. 查看用户侧权益是否读取最新配置
5. 查看审计日志是否记录变更前后值</t>
  </si>
  <si>
    <t>合法修改保存成功；列表、详情和用户权益计算读取最新配置；刷新或重新登录后数据不回退；审计日志记录变更前后值</t>
  </si>
  <si>
    <t>ULC-CFG-004</t>
  </si>
  <si>
    <t>编辑保存失败回滚</t>
  </si>
  <si>
    <t>可模拟保存接口超时、500或网络断开</t>
  </si>
  <si>
    <t>1. 修改多个字段（名称、经验、折扣、补贴）
2. 保存时模拟接口超时/500/网络断开
3. 查看错误提示是否明确
4. 关闭弹窗后重新进入查看数据
5. 确认前端不误显示保存成功</t>
  </si>
  <si>
    <t>失败时提示明确；前端不误显示保存成功；本地临时修改不污染列表；重新进入仍为保存前配置</t>
  </si>
  <si>
    <t>提示后端接口连接异常</t>
  </si>
  <si>
    <t>ULC-CFG-005</t>
  </si>
  <si>
    <t>并发编辑冲突处理</t>
  </si>
  <si>
    <t>账号A和账号B同时打开同一等级编辑页</t>
  </si>
  <si>
    <t>1. 账号A修改名称和经验阈值并保存
2. 账号B基于旧数据修改折扣并保存
3. 查看账号B是否收到冲突提示
4. 账号B刷新后重新修改并保存
5. 查看最终配置是否为账号B最新保存值</t>
  </si>
  <si>
    <t>系统通过后端并发校验(乐观锁/版本号)识别旧版本提交；账号B收到冲突提示或需刷新后再保存；不发生静默覆盖；最终配置为最后一次有效保存值</t>
  </si>
  <si>
    <t>发生静默覆盖；保留最后一次有效配置</t>
  </si>
  <si>
    <t>ULC-CFG-006</t>
  </si>
  <si>
    <t>积分奖励开关保存与展示</t>
  </si>
  <si>
    <t>等级支持积分奖励开关</t>
  </si>
  <si>
    <t>1. 开启某等级积分奖励开关并保存
2. 关闭该开关并保存
3. 查看列表与用户侧积分发放触发</t>
  </si>
  <si>
    <t>开关状态保存后列表展示一致；开启后按配置参与后续积分奖励；关闭后不再触发新增奖励；历史已发积分不被异常回滚</t>
  </si>
  <si>
    <t>ULC-CFG-007</t>
  </si>
  <si>
    <t>首次升级奖励配置合法性</t>
  </si>
  <si>
    <t>奖励可配置体验券、满减券、折扣券</t>
  </si>
  <si>
    <t>1. 配置单个奖励
2. 配置多个奖励
3. 配置已失效券、下架券、空奖励并保存</t>
  </si>
  <si>
    <t>合法奖励配置成功；已失效或下架券不可选或保存失败；空奖励按产品规则处理并有明确提示；奖励ID与名称展示一致</t>
  </si>
  <si>
    <t>首次升级奖励再第一次升级时发放，回退也不重复发放</t>
  </si>
  <si>
    <t>ULC-CFG-008</t>
  </si>
  <si>
    <t>前后端校验一致性</t>
  </si>
  <si>
    <t>具备接口调试能力</t>
  </si>
  <si>
    <t>1. 绕过前端直接提交非法名称、非法折扣、非法经验
2. 提交缺少必填字段请求
3. 查看接口响应和数据库</t>
  </si>
  <si>
    <t>后端参数校验(必填/格式/范围)完整生效；非法请求不写库；错误码和错误文案可定位字段</t>
  </si>
  <si>
    <t>字段一致</t>
  </si>
  <si>
    <t>ULC-CFG-009</t>
  </si>
  <si>
    <t>操作取消不保存</t>
  </si>
  <si>
    <t>进入新增或编辑弹窗</t>
  </si>
  <si>
    <t>1. 修改多个字段
2. 点击取消或关闭弹窗
3. 重新进入并查看数据</t>
  </si>
  <si>
    <t>取消或关闭不保存任何修改；再次进入仍展示原配置；如存在未保存内容可按产品规范提示确认</t>
  </si>
  <si>
    <t>操作取消不保留原先数据</t>
  </si>
  <si>
    <t>后台用户等级配置 - 经验阈值与升降级</t>
  </si>
  <si>
    <t>ULC-EXP-001</t>
  </si>
  <si>
    <t>消费经验计算规则</t>
  </si>
  <si>
    <t>用户完成支付订单，订单金额包含可获得经验的消费金额</t>
  </si>
  <si>
    <t>1. 创建金额为1元、10元、99.9元订单并完成支付
2. 查看用户累计经验和经验流水明细
3. 验证经验计算公式：消费1元=10经验值
4. 验证小数处理：消费为整数为主，如出现小数0.1代表1经验，两分位小数四舍五入
5. 模拟订单退款后查看经验是否扣减
6. 核对经验流水、累计经验和等级匹配结果三者一致性</t>
  </si>
  <si>
    <t>按消费1元=10经验值计算；消费以整数为主，小数0.1=1经验，两分位小数四舍五入(如99.9元=999经验)；退款后经验正确扣减；经验流水、累计经验和等级匹配结果一致</t>
  </si>
  <si>
    <t>ULC-EXP-002</t>
  </si>
  <si>
    <t>达到阈值自动升级</t>
  </si>
  <si>
    <t>用户当前经验低于下一等级阈值</t>
  </si>
  <si>
    <t>1. 记录用户当前等级和经验
2. 让用户消费后累计经验刚好达到下一等级阈值
3. 查看用户等级是否自动升级
4. 查看持续权益是否切换到新等级
5. 查看首次升级奖励是否按新等级发放一次
6. 查看后台会员人数统计是否同步变化</t>
  </si>
  <si>
    <t>累计经验达到阈值时自动升级；持续权益切换到新等级；首次升级奖励按新等级发放一次；会员人数统计同步变化</t>
  </si>
  <si>
    <t>达到等级系统对用户自动升级，自动享受当前等级权益，并且发放等级优惠劵</t>
  </si>
  <si>
    <t>ULC-EXP-003</t>
  </si>
  <si>
    <t>未达到阈值不升级</t>
  </si>
  <si>
    <t>用户当前经验接近下一等级阈值</t>
  </si>
  <si>
    <t>1. 记录用户当前等级和经验
2. 让用户消费后累计经验差1点达到阈值
3. 刷新用户信息查看等级
4. 查看后台会员人数是否变化
5. 查看是否误发放下一等级奖励
6. 查看权益是否仍按原等级计算</t>
  </si>
  <si>
    <t>用户等级保持不变；不会提前发放下一等级奖励；后台人数和权益仍按原等级计算</t>
  </si>
  <si>
    <t>ULC-EXP-004</t>
  </si>
  <si>
    <t>调高阈值触发被动降级</t>
  </si>
  <si>
    <t>某等级已有用户，且部分用户经验低于调高后的阈值</t>
  </si>
  <si>
    <t>1. 记录受影响用户数量和当前权益
2. 后台调高该等级所需经验并保存
3. 等待等级重算完成后查看受影响用户等级
4. 验证降级用户持续权益是否切换为降级后等级
5. 查看后台会员人数是否实时更新
6. 查看降级记录是否可追溯
7. 模拟用户正在下单时调高阈值，验证折扣口径</t>
  </si>
  <si>
    <t>经验不满足新阈值的用户降级到满足条件的最高等级；持续权益切换为降级后等级；会员人数实时更新；降级记录可追溯；正在下单用户折扣按实时等级折扣计算，以下单时为准，不对订单进行回滚</t>
  </si>
  <si>
    <t>更改等级经验需求，用户等级更具实时等级经验要求变得，低于变为下一级，高于升为上一级；不会对已经形成的订单进行回滚</t>
  </si>
  <si>
    <t>ULC-EXP-005</t>
  </si>
  <si>
    <t>调低阈值触发自动升级</t>
  </si>
  <si>
    <t>低等级用户经验高于调低后的新阈值</t>
  </si>
  <si>
    <t>1. 记录满足条件的用户数量
2. 后台调低高等级所需经验并保存
3. 触发等级重算
4. 查看满足条件用户是否自动升级
5. 验证首次升级奖励是否按规则发放
6. 验证持续权益是否实时生效
7. 查看会员人数更新是否准确</t>
  </si>
  <si>
    <t>满足新阈值的低等级用户自动升级；首次升级奖励按规则发放；持续权益实时生效；会员人数更新准确</t>
  </si>
  <si>
    <t>ULC-EXP-006</t>
  </si>
  <si>
    <t>调高阈值后再次升回等级不重复发一次性奖励</t>
  </si>
  <si>
    <t>用户Lv.3经验2000已领取Lv.3首次升级奖励；后台将Lv.3阈值从2000调高至10000</t>
  </si>
  <si>
    <t>1. 后台将Lv.3阈值调至10000并保存
2. 确认用户降级为Lv.2（经验2000&lt;10000）
3. 用户继续消费使经验达到10000
4. 查看用户等级、奖励发放记录和持续权益</t>
  </si>
  <si>
    <t>用户重新升回Lv.3；系统正确识别该用户曾拥有Lv.3，不重复发放Lv.3首次升级奖励；持续权益（折扣/补贴）正确恢复为Lv.3标准；奖励流水无重复记录</t>
  </si>
  <si>
    <t>不重复发放等级优惠劵；持续权益（折扣/补贴）正确恢复为Lv.3标准；奖励流水无重复记录</t>
  </si>
  <si>
    <t>ULC-EXP-007</t>
  </si>
  <si>
    <t>跨多级升级奖励发放策略与人数流转</t>
  </si>
  <si>
    <t>用户Lv.1经验0；各等级阈值Lv.2=500/Lv.3=2000/Lv.4=10000/Lv.5=50000</t>
  </si>
  <si>
    <t>1. 模拟用户一次性获得50000经验（从Lv.1直接跳到Lv.5）
2. 查看用户最终等级和奖励领取记录
3. 确认只发放目标等级(Lv.5)奖励，不补发中间等级(Lv.2/Lv.3/Lv.4)奖励
4. 查看Lv.2/Lv.3/Lv.4当前会员人数是否有中间态增加再减少
5. 核对数据库是否存在中间等级的瞬时状态记录</t>
  </si>
  <si>
    <t>用户直接升至Lv.5；只发放Lv.5目标等级奖励，不补发中间等级(Lv.2/Lv.3/Lv.4)奖励；会员人数在各等级间正确流转，Lv.2/3/4人数无异常波动或脏记录</t>
  </si>
  <si>
    <t>直接跳级，中间等级不补发奖励；实时显示各等级人数</t>
  </si>
  <si>
    <t>ULC-EXP-008</t>
  </si>
  <si>
    <t>阈值修改后缓存一致性</t>
  </si>
  <si>
    <t>用户端、订单结算、后台列表均读取等级权益</t>
  </si>
  <si>
    <t>1. 修改某等级阈值导致用户升降级
2. 立即查看用户端权益、订单折扣、后台人数
3. 多次刷新和重新登录</t>
  </si>
  <si>
    <t>各端读取结果一致；不存在缓存导致旧等级权益继续生效；如有缓存TTL，应符合后端约定并可被主动失效</t>
  </si>
  <si>
    <t>用户等级经验阈值改变，系统不记录原来的的等级情况数据；旧缓存不生效</t>
  </si>
  <si>
    <t>ULC-EXP-009</t>
  </si>
  <si>
    <t>经验重算任务异常恢复</t>
  </si>
  <si>
    <t>可模拟等级重算任务中断或部分失败</t>
  </si>
  <si>
    <t>1. 修改阈值触发大批量重算
2. 中途模拟任务失败
3. 重试任务并核对结果</t>
  </si>
  <si>
    <t>失败有告警和重试能力；已处理和未处理用户状态可识别；重试后最终一致；不会重复发放一次性奖励</t>
  </si>
  <si>
    <t>系统自动计算会员经验获取，自动发放经验值；不重复发放一次性奖励</t>
  </si>
  <si>
    <t>后台用户等级配置 - 权益折扣与奖励生命周期</t>
  </si>
  <si>
    <t>ULC-BEN-001</t>
  </si>
  <si>
    <t>购买折扣计算正确</t>
  </si>
  <si>
    <t>用户处于配置了购买折扣的等级</t>
  </si>
  <si>
    <t>1. 配置购买折扣为100、99、95
2. 分别创建购买订单
3. 核对实际支付金额=订单金额×折扣/100
4. 修改折扣后再次下单验证实时生效
5. 查看历史已支付订单是否被异常改价</t>
  </si>
  <si>
    <t>实际支付=订单金额×折扣/100；100为原价；折扣变化后新订单实时生效；历史已支付订单不被异常改价；金额四舍五入规则一致</t>
  </si>
  <si>
    <t>购买折扣正确计算</t>
  </si>
  <si>
    <t>ULC-BEN-002</t>
  </si>
  <si>
    <t>租赁折扣计算正确</t>
  </si>
  <si>
    <t>用户处于配置了租赁折扣的等级</t>
  </si>
  <si>
    <t>1. 配置租赁折扣为100、98、95
2. 分别创建租赁订单
3. 核对租赁订单支付金额=订单金额×折扣/100
4. 修改折扣后再次下单验证实时生效
5. 查看历史已支付订单是否被异常改价</t>
  </si>
  <si>
    <t>租赁折扣按配置计算；不同等级用户使用对应折扣；折扣修改后新订单实时生效，历史已支付订单不被异常改价</t>
  </si>
  <si>
    <t>租赁折扣按配置计算；不同等级用户使用对应折扣；折扣修改后新订单实时生效，历史已支付订单不回滚</t>
  </si>
  <si>
    <t>ULC-BEN-003</t>
  </si>
  <si>
    <t>代售费折扣计算正确</t>
  </si>
  <si>
    <t>用户出售账号并产生代售服务费</t>
  </si>
  <si>
    <t>1. 配置代售费折扣为100、98、95
2. 分别创建代售订单
3. 核对实际代售费=标准代售费×折扣/100
4. 修改折扣后再次创建代售订单验证实时生效
5. 查看费用流水与订单展示是否一致</t>
  </si>
  <si>
    <t>实际代售费=标准代售费×折扣/100；折扣范围和取整规则一致；折扣修改后新订单实时生效；费用流水与订单展示一致</t>
  </si>
  <si>
    <t>折扣为订单金额在优惠劵逻辑之后的应付金额上折扣；折扣修改后，已经完成的和已经生成订单的不进行回滚，将要下单的进行改变，</t>
  </si>
  <si>
    <t>ULC-BEN-004</t>
  </si>
  <si>
    <t>租金补贴比例公式正确</t>
  </si>
  <si>
    <t>存在卖家比例40、收费比例0、等级补贴+2的租赁场景</t>
  </si>
  <si>
    <t>1. 配置等级补贴为+2
2. 创建对应租赁订单
3. 核对买家租金=总价值×100/(卖家比例-收费比例+等级补贴)
4. 验证示例：40×100/42≈95.24
5. 测试异常分母场景（卖家比例-收费比例+补贴≤0）</t>
  </si>
  <si>
    <t>买家租金=总价值×100/(卖家比例-收费比例+等级补贴)；示例40×100/42≈95.24计算正确；异常分母被后端参数校验拦截，不允许生成非法租金</t>
  </si>
  <si>
    <t>ULC-BEN-005</t>
  </si>
  <si>
    <t>免押金权益生效</t>
  </si>
  <si>
    <t>Lv.4及以上配置免押金为是，低等级为否</t>
  </si>
  <si>
    <t>1. 使用Lv.3用户创建租赁订单查看押金项
2. 使用Lv.4用户创建租赁订单查看押金项
3. 修改免押金开关后再次分别下单
4. 查看历史已支付订单押金是否被异常清除</t>
  </si>
  <si>
    <t>Lv.4及以上无需支付押金；低等级仍需押金；开关修改后对新订单实时生效；历史订单押金不被异常清除</t>
  </si>
  <si>
    <t>免押金权益生效，在支付页面下方显示免押金</t>
  </si>
  <si>
    <t>ULC-BEN-006</t>
  </si>
  <si>
    <t>持续权益修改实时生效</t>
  </si>
  <si>
    <t>用户当前处于被修改权益的等级</t>
  </si>
  <si>
    <t>1. 修改购买折扣、租赁折扣、代售折扣、租金补贴、免押金
2. 保存后立即创建对应业务订单
3. 对比修改前后权益计算结果
4. 查看旧订单是否按下单时快照处理</t>
  </si>
  <si>
    <t>持续权益改后实时生效；新订单按新配置计算；旧订单按下单时快照或既定规则处理，不发生资金不一致</t>
  </si>
  <si>
    <t>ULC-BEN-007</t>
  </si>
  <si>
    <t>一次性奖励改后不补发</t>
  </si>
  <si>
    <t>用户已领取某等级首次升级奖励</t>
  </si>
  <si>
    <t>1. 修改该等级首次升级奖励配置
2. 查看已领取用户奖励账户
3. 让新用户首次升到该等级</t>
  </si>
  <si>
    <t>已领取用户不补发新奖励；新首次升级用户按新配置发放；奖励流水能区分配置版本和发放时间</t>
  </si>
  <si>
    <t>一次性奖励改后不补发；新首次升级用户按新配置发放；奖励流水能区分配置版本和发放时间</t>
  </si>
  <si>
    <t>ULC-BEN-008</t>
  </si>
  <si>
    <t>奖励发放失败补偿</t>
  </si>
  <si>
    <t>可模拟券服务不可用或奖励发放接口失败</t>
  </si>
  <si>
    <t>1. 用户首次升级触发奖励
2. 模拟奖励服务超时或失败
3. 查看补偿任务和用户奖励</t>
  </si>
  <si>
    <t>升级状态不被错误回滚；奖励失败有待补偿记录、重试机制和告警；重试成功后不重复发放多份奖励</t>
  </si>
  <si>
    <t>升级状态不被错误回滚；奖励失败有重试机制；重试成功后不重复发放多份奖励</t>
  </si>
  <si>
    <t>ULC-BEN-009</t>
  </si>
  <si>
    <t>权益配置与订单快照一致性</t>
  </si>
  <si>
    <t>用户下单过程中后台修改权益配置</t>
  </si>
  <si>
    <t>1. 用户进入下单页获取权益
2. 后台修改等级折扣或补贴
3. 用户提交订单并支付
4. 验证历史订单不受影响，以实际时间为准</t>
  </si>
  <si>
    <t>订单使用明确的权益快照规则；支付金额与订单明细一致；后台修改不会导致前后端金额不一致或支付绕过；历史订单不管，以实际时间为准</t>
  </si>
  <si>
    <t>以下单时用户等级实时权益为准</t>
  </si>
  <si>
    <t>ULC-BEN-010</t>
  </si>
  <si>
    <t>折扣与优惠券叠加计算顺序</t>
  </si>
  <si>
    <t>用户Lv.3购买折扣98（9.8折），持有10元无门槛优惠券</t>
  </si>
  <si>
    <t>1. 创建100元购买订单
2. 使用优惠券
3. 核对实付金额
4. 验证计算顺序: 先优惠券后应付金额×折扣(100-10=90, 90×0.98=88.2)
5. 确认付款金额=88.2元</t>
  </si>
  <si>
    <t>计算顺序: 先优惠劵后以应付金额在乘以折扣，最后的才是付款金额；实付金额=(100-10)×0.98=88.2元；全链路计算顺序一致；不出现折上折导致资金损失或用户投诉</t>
  </si>
  <si>
    <t>先优惠卷后计算折扣；不出现重复折扣</t>
  </si>
  <si>
    <t>后台用户等级配置 - 状态停用删除与序号规则</t>
  </si>
  <si>
    <t>ULC-STS-001</t>
  </si>
  <si>
    <t>Lv.1不可停用</t>
  </si>
  <si>
    <t>列表存在Lv.1普通用户</t>
  </si>
  <si>
    <t>1. 查看Lv.1操作列
2. 尝试通过前端停用Lv.1
3. 通过接口提交停用Lv.1请求</t>
  </si>
  <si>
    <t>Lv.1无停用按钮或按钮不可用；接口被后端状态机校验拦截；Lv.1状态保持启用</t>
  </si>
  <si>
    <t>LV1不可停用，只能更改属性</t>
  </si>
  <si>
    <t>ULC-STS-002</t>
  </si>
  <si>
    <t>Lv.1不可删除</t>
  </si>
  <si>
    <t>1. 查看Lv.1操作列
2. 尝试通过接口删除Lv.1
3. 查看列表和数据库</t>
  </si>
  <si>
    <t>Lv.1无删除入口；接口删除请求被后端状态机校验拦截；Lv.1数据不被删除</t>
  </si>
  <si>
    <t>ULC-STS-003</t>
  </si>
  <si>
    <t>有用户等级禁止停用</t>
  </si>
  <si>
    <t>某非Lv.1等级当前会员人数大于0</t>
  </si>
  <si>
    <t>1. 点击停用该等级
2. 确认操作
3. 查看状态是否变更
4. 查看该等级已有用户的等级和权益是否受影响
5. 查看列表状态展示</t>
  </si>
  <si>
    <t>系统阻止停用并提示已有用户不可停用；等级仍参与匹配；已有用户等级和权益不受影响</t>
  </si>
  <si>
    <t>只有在等级中没有用户才能删除该等级</t>
  </si>
  <si>
    <t>ULC-STS-004</t>
  </si>
  <si>
    <t>无用户等级停用成功且不参与匹配</t>
  </si>
  <si>
    <t>某非Lv.1等级会员人数为0</t>
  </si>
  <si>
    <t>1. 停用该等级
2. 查看列表状态是否变更为停用
3. 构造用户经验达到该停用等级阈值
4. 查看用户最终匹配等级是否跳过停用等级
5. 查看停用等级是否不参与升级匹配</t>
  </si>
  <si>
    <t>停用成功；停用等级不参与用户升级匹配；用户匹配到满足条件的最高启用等级；列表状态展示停用</t>
  </si>
  <si>
    <t>进最后一个等级可以删除并且当前等级无用户存在；无用户等级停用成功且不参与匹配</t>
  </si>
  <si>
    <t>ULC-STS-005</t>
  </si>
  <si>
    <t>启用等级阈值范围校验</t>
  </si>
  <si>
    <t>存在停用等级，其上下相邻启用等级有明确阈值</t>
  </si>
  <si>
    <t>1. 将停用等级阈值设置为不在上下已启用等级范围内
2. 点击启用
3. 修正阈值后再次启用</t>
  </si>
  <si>
    <t>阈值不合法时禁止启用；错误提示说明需大于上一级且小于下一级启用等级阈值；修正后启用成功</t>
  </si>
  <si>
    <t>等级经验有明确校验</t>
  </si>
  <si>
    <t>ULC-STS-006</t>
  </si>
  <si>
    <t>非Lv.1无用户等级删除成功</t>
  </si>
  <si>
    <t>某最高等级无用户且允许删除</t>
  </si>
  <si>
    <t>1. 点击删除该等级
2. 二次确认
3. 查看列表和后续新增等级</t>
  </si>
  <si>
    <t>删除成功且有二次确认；列表移除该等级；再次新增时序号按当前最高等级+1生成，不出现跳号或重复</t>
  </si>
  <si>
    <t>ULC-STS-007</t>
  </si>
  <si>
    <t>有用户等级禁止删除</t>
  </si>
  <si>
    <t>某非Lv.1等级当前会员人数大于0；或尝试删除非最后等级</t>
  </si>
  <si>
    <t>1. 尝试删除有用户的等级
2. 尝试删除非最后等级(中间等级)
3. 查看响应
4. 查看用户等级和列表</t>
  </si>
  <si>
    <t>有用户的等级删除被阻止；非最后等级删除被阻止；只能删除最后的等级且在该等级无用户存在的情况下才能删除；不考虑数据迁移问题；提示存在用户不可删除或非最后等级不可删除；用户等级、权益、统计不受影响</t>
  </si>
  <si>
    <t>等级被删除了</t>
  </si>
  <si>
    <t>FAIL</t>
  </si>
  <si>
    <t>ULC-STS-008</t>
  </si>
  <si>
    <t>状态切换审计与二次确认</t>
  </si>
  <si>
    <t>管理员具备启停权限</t>
  </si>
  <si>
    <t>1. 停用等级并确认
2. 启用等级并确认
3. 查看审计日志</t>
  </si>
  <si>
    <t>启停高影响操作有二次确认；审计日志记录操作者、时间、等级、原状态、新状态、原因或备注</t>
  </si>
  <si>
    <t>管理员可以对等级属性进行编辑；功能正常</t>
  </si>
  <si>
    <t>ULC-STS-009</t>
  </si>
  <si>
    <t>排序稳定与序号不可编辑</t>
  </si>
  <si>
    <t>存在多等级配置</t>
  </si>
  <si>
    <t>1. 刷新列表多次
2. 尝试编辑等级序号
3. 删除/新增后查看排序</t>
  </si>
  <si>
    <t>等级序号系统固定不可编辑；排序始终按Lv递增；新增、删除、启停后排序稳定，不受名称或人数变化影响</t>
  </si>
  <si>
    <t>ULC-STS-010</t>
  </si>
  <si>
    <t>停用等级对新用户升级路径的影响</t>
  </si>
  <si>
    <t>Lv.2处于停用状态，Lv.3阈值2000且启用</t>
  </si>
  <si>
    <t>1. 确认Lv.2已停用且不参与匹配
2. 新用户注册为Lv.1
3. 让用户积累经验达到Lv.2原阈值500
4. 观察用户等级是否停留在Lv.1
5. 继续积累经验达到Lv.3阈值2000
6. 观察用户是否直接跳入Lv.3
7. 重新开启Lv.2，验证用户经验值足够时是否自动升级</t>
  </si>
  <si>
    <t>用户不会进入停用的Lv.2；经验达到停用等级阈值时停留在当前等级；经验达到下一个启用等级阈值时自动跳入该等级；停用等级对升级路径无阻塞性影响；开启新等级情况下，用户经验值足够就自动升级</t>
  </si>
  <si>
    <t>只有删除等级，无法停用等级</t>
  </si>
  <si>
    <t>后台用户等级配置 - 权限审计与安全可见性</t>
  </si>
  <si>
    <t>ULC-SEC-001</t>
  </si>
  <si>
    <t>无权限用户不可访问配置页</t>
  </si>
  <si>
    <t>账号无用户等级配置查看权限</t>
  </si>
  <si>
    <t>1. 使用无权限账号访问页面URL
2. 通过菜单查找入口
3. 直接请求列表接口</t>
  </si>
  <si>
    <t>菜单不展示入口；直接访问页面或接口被后端权限校验(RBAC角色校验)拦截；不返回等级配置敏感数据</t>
  </si>
  <si>
    <t>菜单不展示入口；直接访问页面或接口被后端权限校验(RBAC角色校验)拦截；不返回等级配置数据</t>
  </si>
  <si>
    <t>ULC-SEC-002</t>
  </si>
  <si>
    <t>只读权限不可新增编辑删除启停</t>
  </si>
  <si>
    <t>账号仅有查看权限</t>
  </si>
  <si>
    <t>1. 打开等级配置页
2. 查看操作按钮
3. 直接调用新增、编辑、删除、启停接口</t>
  </si>
  <si>
    <t>页面不展示或禁用写操作按钮；接口写操作被RBAC拦截；仅允许查看列表和详情</t>
  </si>
  <si>
    <t>账号金科查看处于售卖等级，以及享受什么样的权限</t>
  </si>
  <si>
    <t>ULC-SEC-003</t>
  </si>
  <si>
    <t>编辑权限粒度校验</t>
  </si>
  <si>
    <t>账号具备编辑权限但无删除或启停权限</t>
  </si>
  <si>
    <t>1. 使用该账号编辑等级并保存
2. 尝试删除等级
3. 尝试启停等级</t>
  </si>
  <si>
    <t>编辑操作允许；删除和启停按权限被拦截；错误提示不暴露系统内部信息</t>
  </si>
  <si>
    <t>编辑操作允许；删除和启停按权限被拦截；错误提示不暴露系统内部信息，提示后端接口异常</t>
  </si>
  <si>
    <t>ULC-SEC-004</t>
  </si>
  <si>
    <t>全部配置变更写入审计日志</t>
  </si>
  <si>
    <t>管理员具备配置权限</t>
  </si>
  <si>
    <t>1. 新增等级并查看审计日志
2. 编辑阈值和权益并查看审计日志
3. 停用/启用/删除等级并查看审计日志
4. 核对每条日志是否记录操作者、时间、IP、操作类型、等级、变更前值、变更后值
5. 验证日志不可被普通管理员篡改</t>
  </si>
  <si>
    <t>每类变更均记录操作者、时间、IP、操作类型、等级、变更前值、变更后值；高危操作（阈值修改/删除）记录修改前值和修改后值；日志不可被普通管理员篡改</t>
  </si>
  <si>
    <t>日志记录不可修改，不可删除，记录每类变更均记录操作者、时间、IP、操作类型、等级、变更前值、变更后值；高危操作（阈值修改/删除）记录修改前值和修改后值</t>
  </si>
  <si>
    <t>ULC-SEC-005</t>
  </si>
  <si>
    <t>接口越权与参数篡改防护</t>
  </si>
  <si>
    <t>具备抓包或接口调试能力</t>
  </si>
  <si>
    <t>1. 修改请求中的等级ID为无权限数据
2. 修改不可编辑字段如会员人数、等级序号
3. 重放历史保存请求
4. 查看后端是否拦截非法请求
5. 查看数据库是否产生脏数据</t>
  </si>
  <si>
    <t>后端权限校验和参数白名单生效；不可编辑字段被忽略或拦截；重放请求因版本或权限校验失败，不造成脏数据</t>
  </si>
  <si>
    <t>提示接口异常，需要刷新重试</t>
  </si>
  <si>
    <t>ULC-SEC-006</t>
  </si>
  <si>
    <t>导出权限控制</t>
  </si>
  <si>
    <t>系统提供等级配置导出或后续支持导出</t>
  </si>
  <si>
    <t>1. 无导出权限账号点击导出或请求导出接口
2. 有导出权限账号导出
3. 打开导出文件核对内容</t>
  </si>
  <si>
    <t>无权限不可导出；有权限可导出当前筛选范围数据；导出内容不包含不应暴露的内部字段或接口密钥</t>
  </si>
  <si>
    <t>无导出能力（暂不设计）</t>
  </si>
  <si>
    <t>ULC-SEC-007</t>
  </si>
  <si>
    <t>用户数据脱敏规则</t>
  </si>
  <si>
    <t>配置页或详情可能展示用户样例、会员人数钻取或操作人信息</t>
  </si>
  <si>
    <t>1. 普通管理员查看相关数据
2. 高权限管理员查看
3. 刷新页面或导出</t>
  </si>
  <si>
    <t>手机号、账号ID等敏感数据按角色脱敏；高权限查看需符合权限；刷新和导出后脱敏规则一致</t>
  </si>
  <si>
    <t>用户不可见，管理员可见使用用户民和手机号，客服对身份证等敏感信息不可见</t>
  </si>
  <si>
    <t>ULC-SEC-008</t>
  </si>
  <si>
    <t>配置页对前台用户不可见</t>
  </si>
  <si>
    <t>普通前台用户已登录</t>
  </si>
  <si>
    <t>1. 前台用户访问后台配置URL
2. 检查前台个人中心、会员页是否出现配置入口
3. 请求后台配置接口</t>
  </si>
  <si>
    <t>前台用户不可见后台配置入口；直接访问被拦截；接口不返回后台配置操作能力</t>
  </si>
  <si>
    <t>前台用户不可见后台配置入口；直接访问被后台拦截；接口不返回后台配置操作能力</t>
  </si>
  <si>
    <t>ULC-SEC-009</t>
  </si>
  <si>
    <t>XSS与特殊字符安全</t>
  </si>
  <si>
    <t>管理员可编辑等级名称或奖励文案</t>
  </si>
  <si>
    <t>1. 输入&lt;script&gt;、HTML标签、SQL特殊字符
2. 保存并查看列表、详情、导出
3. 查看控制台和接口响应</t>
  </si>
  <si>
    <t>恶意脚本被转义或拦截；页面不执行脚本；导出文件不包含可执行公式注入；数据库无异常</t>
  </si>
  <si>
    <t>不执行恶意脚本，直接翻译为纯文本</t>
  </si>
  <si>
    <t>后台用户等级配置 - 兼容性性能与回归</t>
  </si>
  <si>
    <t>ULC-QA-001</t>
  </si>
  <si>
    <t>搜索筛选基础能力</t>
  </si>
  <si>
    <t>列表支持按等级名称、状态或等级序号搜索筛选；如暂未支持则记录缺失</t>
  </si>
  <si>
    <t>1. 输入完整等级名称搜索
2. 输入部分关键字搜索
3. 按启用/停用状态筛选</t>
  </si>
  <si>
    <t>搜索和筛选结果准确；无结果展示空状态；清空条件后恢复全部数据；如需求未定义搜索筛选，应在缺失分析中记录待产品确认</t>
  </si>
  <si>
    <t>缺失（不需要）</t>
  </si>
  <si>
    <t>ULC-QA-002</t>
  </si>
  <si>
    <t>分页边界与每页条数</t>
  </si>
  <si>
    <t>系统存在足够多等级或可通过测试数据构造</t>
  </si>
  <si>
    <t>1. 切换每页条数
2. 跳转首页、末页、超出页码
3. 删除末页最后一条后刷新</t>
  </si>
  <si>
    <t>分页总数、页码、每页条数正确；超出页码自动回退或提示；删除后页码不空白异常</t>
  </si>
  <si>
    <t>固定有lv1-lv4等级，不创建过多等级</t>
  </si>
  <si>
    <t>ULC-QA-003</t>
  </si>
  <si>
    <t>查询防抖与重复提交</t>
  </si>
  <si>
    <t>列表搜索输入框和保存按钮可操作</t>
  </si>
  <si>
    <t>1. 快速连续输入搜索词
2. 连续点击保存按钮
3. 查看接口请求次数和最终结果</t>
  </si>
  <si>
    <t>搜索请求有防抖或取消旧请求；保存按钮提交中置灰；不会产生重复保存、重复奖励或重复日志</t>
  </si>
  <si>
    <t>ULC-QA-004</t>
  </si>
  <si>
    <t>批量自动升降级性能与奖励风暴</t>
  </si>
  <si>
    <t>构造1000名用户经验在400-500之间（Lv.1），Lv.2阈值当前为500</t>
  </si>
  <si>
    <t>1. 后台将Lv.2阈值从500降至400并保存
2. 监控配置保存接口耗时、重算任务耗时和系统负载
3. 观察1000名用户是否全部升级为Lv.2
4. 监控发券/奖励服务是否扛住1000人同时触发首次升级奖励
5. 检查是否有漏发、重复发或服务崩溃</t>
  </si>
  <si>
    <t>配置保存成功不超时；重算任务异步执行或分批处理，进度可追踪；1000名用户最终全部升级为Lv.2；发券服务无崩溃、无漏发、无重复发；大数据量下最终统计一致</t>
  </si>
  <si>
    <t>目前支持并发500，1000会产生丢包，失败后重新发放，不重复</t>
  </si>
  <si>
    <t>ULC-QA-005</t>
  </si>
  <si>
    <t>列表加载性能</t>
  </si>
  <si>
    <t>后台存在多等级和较多操作日志</t>
  </si>
  <si>
    <t>1. 首次打开配置页
2. 多次切换筛选条件
3. 记录接口耗时和页面渲染耗时</t>
  </si>
  <si>
    <t>首屏加载、筛选刷新在产品约定性能范围内；无明显卡顿；接口返回字段精简，无冗余大字段</t>
  </si>
  <si>
    <t>后台记录使用操作行为，日志不可删除</t>
  </si>
  <si>
    <t>ULC-QA-006</t>
  </si>
  <si>
    <t>服务端异常容错</t>
  </si>
  <si>
    <t>可模拟接口超时、鉴权过期、500错误</t>
  </si>
  <si>
    <t>1. 打开列表时模拟异常
2. 保存配置时模拟异常
3. 鉴权过期后继续操作</t>
  </si>
  <si>
    <t>列表异常有重试；保存异常不误提示成功；鉴权过期跳转登录或刷新令牌；用户操作不产生脏数据</t>
  </si>
  <si>
    <t>未误提示成功、无脏数据；但401未跳转、500错误提示验证不充分（XHR拦截限制）</t>
  </si>
  <si>
    <t>ULC-QA-007</t>
  </si>
  <si>
    <t>浏览器兼容性</t>
  </si>
  <si>
    <t>准备Chrome、Edge、Firefox主流版本</t>
  </si>
  <si>
    <t>1. 分别打开等级配置页
2. 执行新增、编辑、启停、筛选
3. 查看样式和控制台</t>
  </si>
  <si>
    <t>主流浏览器下布局、弹窗、表单、按钮、提示一致；无控制台报错；中文和数字格式展示正常</t>
  </si>
  <si>
    <t>Chromium下无报错、布局正常</t>
  </si>
  <si>
    <t>ULC-QA-008</t>
  </si>
  <si>
    <t>移动或窄屏后台适配</t>
  </si>
  <si>
    <t>使用窄屏分辨率或浏览器响应式模式</t>
  </si>
  <si>
    <t>1. 将窗口缩小到常见窄屏宽度
2. 查看列表横向滚动、操作列和弹窗
3. 执行编辑保存</t>
  </si>
  <si>
    <t>表格可横向滚动或自适应；关键操作不被遮挡；弹窗按钮可见；不出现布局错乱导致无法保存</t>
  </si>
  <si>
    <t>有响应式断点、操作列可见；</t>
  </si>
  <si>
    <t>ULC-QA-009</t>
  </si>
  <si>
    <t>核心回归链路</t>
  </si>
  <si>
    <t>版本发版前回归环境可用</t>
  </si>
  <si>
    <t>1. 回归查看列表
2. 回归新增/编辑合法配置
3. 回归阈值调低升级、调高降级
4. 回归权益折扣和免押金
5. 回归权限拦截</t>
  </si>
  <si>
    <t>核心链路均通过；资金/权益计算无回归缺陷；权限拦截和Lv.1保护仍生效；审计日志完整</t>
  </si>
  <si>
    <t>列表6条记录、表单校验完整、权益字段齐全、Lv.1保护生效</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</si>
</sst>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6">
    <font>
      <sz val="11"/>
      <color theme="1"/>
      <name val="Noto Sans SC"/>
      <charset val="134"/>
    </font>
    <font>
      <b/>
      <sz val="14"/>
      <color rgb="FF1F2937"/>
      <name val="微软雅黑"/>
      <charset val="1"/>
    </font>
    <font>
      <b/>
      <sz val="11"/>
      <color rgb="FFFFFFFF"/>
      <name val="微软雅黑"/>
      <charset val="1"/>
    </font>
    <font>
      <b/>
      <sz val="10"/>
      <color rgb="FF1F2937"/>
      <name val="微软雅黑"/>
      <charset val="1"/>
    </font>
    <font>
      <sz val="10"/>
      <name val="微软雅黑"/>
      <charset val="1"/>
    </font>
    <font>
      <sz val="10"/>
      <color rgb="FF2563EB"/>
      <name val="微软雅黑"/>
      <charset val="1"/>
    </font>
    <font>
      <b/>
      <sz val="10"/>
      <color rgb="FF00B050"/>
      <name val="微软雅黑"/>
      <charset val="1"/>
    </font>
    <font>
      <sz val="10"/>
      <color rgb="FF6B7280"/>
      <name val="微软雅黑"/>
      <charset val="1"/>
    </font>
    <font>
      <b/>
      <sz val="10"/>
      <color rgb="FFEA580C"/>
      <name val="微软雅黑"/>
      <charset val="1"/>
    </font>
    <font>
      <sz val="10"/>
      <color rgb="FF9CA3AF"/>
      <name val="微软雅黑"/>
      <charset val="1"/>
    </font>
    <font>
      <b/>
      <sz val="10"/>
      <color rgb="FFDC2626"/>
      <name val="微软雅黑"/>
      <charset val="1"/>
    </font>
    <font>
      <b/>
      <sz val="10"/>
      <color rgb="FFFF0000"/>
      <name val="微软雅黑"/>
      <charset val="1"/>
    </font>
    <font>
      <b/>
      <sz val="10"/>
      <color rgb="FF2563EB"/>
      <name val="微软雅黑"/>
      <charset val="1"/>
    </font>
    <font>
      <b/>
      <sz val="10"/>
      <color rgb="FF6B7280"/>
      <name val="微软雅黑"/>
      <charset val="1"/>
    </font>
    <font>
      <b/>
      <sz val="11"/>
      <color rgb="FF1F2937"/>
      <name val="微软雅黑"/>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4472C4"/>
        <bgColor rgb="FF2563EB"/>
      </patternFill>
    </fill>
    <fill>
      <patternFill patternType="solid">
        <fgColor rgb="FFFFFFFF"/>
        <bgColor rgb="FFF7F9FC"/>
      </patternFill>
    </fill>
    <fill>
      <patternFill patternType="solid">
        <fgColor rgb="FFF7F9FC"/>
        <bgColor rgb="FFFFFFFF"/>
      </patternFill>
    </fill>
    <fill>
      <patternFill patternType="solid">
        <fgColor rgb="FFEAF2FF"/>
        <bgColor rgb="FFF7F9F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DEE7"/>
      </left>
      <right style="thin">
        <color rgb="FFD9DEE7"/>
      </right>
      <top style="thin">
        <color rgb="FFD9DEE7"/>
      </top>
      <bottom style="thin">
        <color rgb="FFD9DE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5" fillId="0" borderId="0" applyBorder="0" applyAlignment="0" applyProtection="0"/>
    <xf numFmtId="44" fontId="15" fillId="0" borderId="0" applyBorder="0" applyAlignment="0" applyProtection="0"/>
    <xf numFmtId="9" fontId="15" fillId="0" borderId="0" applyBorder="0" applyAlignment="0" applyProtection="0"/>
    <xf numFmtId="41" fontId="15" fillId="0" borderId="0" applyBorder="0" applyAlignment="0" applyProtection="0"/>
    <xf numFmtId="42" fontId="15" fillId="0" borderId="0" applyBorder="0" applyAlignment="0" applyProtection="0"/>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6" borderId="2"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3" applyNumberFormat="0" applyFill="0" applyAlignment="0" applyProtection="0">
      <alignment vertical="center"/>
    </xf>
    <xf numFmtId="0" fontId="23" fillId="0" borderId="3" applyNumberFormat="0" applyFill="0" applyAlignment="0" applyProtection="0">
      <alignment vertical="center"/>
    </xf>
    <xf numFmtId="0" fontId="24" fillId="0" borderId="4" applyNumberFormat="0" applyFill="0" applyAlignment="0" applyProtection="0">
      <alignment vertical="center"/>
    </xf>
    <xf numFmtId="0" fontId="24" fillId="0" borderId="0" applyNumberFormat="0" applyFill="0" applyBorder="0" applyAlignment="0" applyProtection="0">
      <alignment vertical="center"/>
    </xf>
    <xf numFmtId="0" fontId="25" fillId="7" borderId="5" applyNumberFormat="0" applyAlignment="0" applyProtection="0">
      <alignment vertical="center"/>
    </xf>
    <xf numFmtId="0" fontId="26" fillId="8" borderId="6" applyNumberFormat="0" applyAlignment="0" applyProtection="0">
      <alignment vertical="center"/>
    </xf>
    <xf numFmtId="0" fontId="27" fillId="8" borderId="5" applyNumberFormat="0" applyAlignment="0" applyProtection="0">
      <alignment vertical="center"/>
    </xf>
    <xf numFmtId="0" fontId="28" fillId="9" borderId="7" applyNumberFormat="0" applyAlignment="0" applyProtection="0">
      <alignment vertical="center"/>
    </xf>
    <xf numFmtId="0" fontId="29" fillId="0" borderId="8" applyNumberFormat="0" applyFill="0" applyAlignment="0" applyProtection="0">
      <alignment vertical="center"/>
    </xf>
    <xf numFmtId="0" fontId="30" fillId="0" borderId="9"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cellStyleXfs>
  <cellXfs count="35">
    <xf numFmtId="0" fontId="0" fillId="0" borderId="0" xfId="0"/>
    <xf numFmtId="0" fontId="1" fillId="0" borderId="0" xfId="0" applyFont="1" applyBorder="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4" fillId="3" borderId="1" xfId="0" applyFont="1" applyFill="1" applyBorder="1" applyAlignment="1">
      <alignment horizontal="left" vertical="top"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3" fillId="4"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1" fillId="3"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12" fillId="3" borderId="1" xfId="0" applyFont="1" applyFill="1" applyBorder="1" applyAlignment="1">
      <alignment horizontal="left" vertical="top" wrapText="1"/>
    </xf>
    <xf numFmtId="0" fontId="13" fillId="4" borderId="1" xfId="0" applyFont="1" applyFill="1" applyBorder="1" applyAlignment="1">
      <alignment horizontal="left" vertical="top" wrapText="1"/>
    </xf>
    <xf numFmtId="0" fontId="13" fillId="3" borderId="1" xfId="0" applyFont="1" applyFill="1" applyBorder="1" applyAlignment="1">
      <alignment horizontal="left" vertical="top" wrapText="1"/>
    </xf>
    <xf numFmtId="0" fontId="12" fillId="4" borderId="1" xfId="0" applyFont="1" applyFill="1" applyBorder="1" applyAlignment="1">
      <alignment horizontal="left" vertical="top" wrapText="1"/>
    </xf>
    <xf numFmtId="0" fontId="14" fillId="0" borderId="0" xfId="0" applyFont="1"/>
    <xf numFmtId="0" fontId="10" fillId="0" borderId="1" xfId="0" applyFont="1" applyBorder="1"/>
    <xf numFmtId="0" fontId="4" fillId="0" borderId="1" xfId="0" applyFont="1" applyBorder="1" applyAlignment="1">
      <alignment horizontal="left" vertical="top" wrapText="1"/>
    </xf>
    <xf numFmtId="0" fontId="8" fillId="0" borderId="1" xfId="0" applyFont="1" applyBorder="1"/>
    <xf numFmtId="0" fontId="5" fillId="0" borderId="1" xfId="0" applyFont="1" applyBorder="1"/>
    <xf numFmtId="0" fontId="7" fillId="0" borderId="1" xfId="0" applyFont="1" applyBorder="1"/>
    <xf numFmtId="0" fontId="9" fillId="0" borderId="1" xfId="0" applyFont="1" applyBorder="1"/>
    <xf numFmtId="0" fontId="4" fillId="0" borderId="0" xfId="0" applyFont="1" applyBorder="1"/>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2" fillId="0" borderId="0" xfId="0" applyFont="1" applyBorder="1"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7F9FC"/>
      <rgbColor rgb="00EAF2FF"/>
      <rgbColor rgb="00660066"/>
      <rgbColor rgb="00FF8080"/>
      <rgbColor rgb="004472C4"/>
      <rgbColor rgb="00D9DEE7"/>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2563EB"/>
      <rgbColor rgb="0033CCCC"/>
      <rgbColor rgb="0099CC00"/>
      <rgbColor rgb="00FFCC00"/>
      <rgbColor rgb="00FF9900"/>
      <rgbColor rgb="00EA580C"/>
      <rgbColor rgb="006B7280"/>
      <rgbColor rgb="009CA3AF"/>
      <rgbColor rgb="00003366"/>
      <rgbColor rgb="00339966"/>
      <rgbColor rgb="00003300"/>
      <rgbColor rgb="00333300"/>
      <rgbColor rgb="00993300"/>
      <rgbColor rgb="00993366"/>
      <rgbColor rgb="00333399"/>
      <rgbColor rgb="00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absolute">
    <xdr:from>
      <xdr:col>10</xdr:col>
      <xdr:colOff>1690</xdr:colOff>
      <xdr:row>26</xdr:row>
      <xdr:rowOff>6820</xdr:rowOff>
    </xdr:from>
    <xdr:to>
      <xdr:col>13</xdr:col>
      <xdr:colOff>397655</xdr:colOff>
      <xdr:row>27</xdr:row>
      <xdr:rowOff>128220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absolute">
    <xdr:from>
      <xdr:col>3</xdr:col>
      <xdr:colOff>2084490</xdr:colOff>
      <xdr:row>10</xdr:row>
      <xdr:rowOff>342100</xdr:rowOff>
    </xdr:from>
    <xdr:to>
      <xdr:col>6</xdr:col>
      <xdr:colOff>401465</xdr:colOff>
      <xdr:row>10</xdr:row>
      <xdr:rowOff>692100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1104100</xdr:rowOff>
    </xdr:from>
    <xdr:to>
      <xdr:col>5</xdr:col>
      <xdr:colOff>2621425</xdr:colOff>
      <xdr:row>7</xdr:row>
      <xdr:rowOff>253950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r>
            <a:rPr lang="zh-CN" sz="1600" dirty="0">
              <a:solidFill>
                <a:srgbClr val="808080">
                  <a:alpha val="19999"/>
                </a:srgbClr>
              </a:solidFill>
              <a:latin typeface="Arial" panose="020B0604020202020204"/>
              <a:ea typeface="宋体" panose="02010600030101010101" pitchFamily="7" charset="-122"/>
            </a:rPr>
            <a:t>AI 生成</a:t>
          </a: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1104100</xdr:rowOff>
    </xdr:from>
    <xdr:to>
      <xdr:col>5</xdr:col>
      <xdr:colOff>2621425</xdr:colOff>
      <xdr:row>7</xdr:row>
      <xdr:rowOff>253950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1104100</xdr:rowOff>
    </xdr:from>
    <xdr:to>
      <xdr:col>5</xdr:col>
      <xdr:colOff>2621425</xdr:colOff>
      <xdr:row>7</xdr:row>
      <xdr:rowOff>253950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1104100</xdr:rowOff>
    </xdr:from>
    <xdr:to>
      <xdr:col>5</xdr:col>
      <xdr:colOff>2621425</xdr:colOff>
      <xdr:row>7</xdr:row>
      <xdr:rowOff>253950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1104100</xdr:rowOff>
    </xdr:from>
    <xdr:to>
      <xdr:col>5</xdr:col>
      <xdr:colOff>2621425</xdr:colOff>
      <xdr:row>7</xdr:row>
      <xdr:rowOff>253950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1104100</xdr:rowOff>
    </xdr:from>
    <xdr:to>
      <xdr:col>5</xdr:col>
      <xdr:colOff>2621425</xdr:colOff>
      <xdr:row>7</xdr:row>
      <xdr:rowOff>253950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absolute">
    <xdr:from>
      <xdr:col>5</xdr:col>
      <xdr:colOff>421425</xdr:colOff>
      <xdr:row>6</xdr:row>
      <xdr:rowOff>1104100</xdr:rowOff>
    </xdr:from>
    <xdr:to>
      <xdr:col>5</xdr:col>
      <xdr:colOff>2621425</xdr:colOff>
      <xdr:row>7</xdr:row>
      <xdr:rowOff>253950</xdr:rowOff>
    </xdr:to>
    <xdr:sp>
      <xdr:nvSpPr>
        <xdr:cNvPr id="2" name="Watermark"/>
        <xdr:cNvSpPr txBox="1"/>
      </xdr:nvSpPr>
      <xdr:spPr>
        <a:xfrm>
          <a:off x="6799580" y="6399530"/>
          <a:ext cx="2200275" cy="349885"/>
        </a:xfrm>
        <a:prstGeom prst="rect">
          <a:avLst/>
        </a:prstGeom>
        <a:noFill/>
        <a:ln>
          <a:noFill/>
        </a:ln>
      </xdr:spPr>
      <xdr:txBody>
        <a:bodyPr wrap="square" lIns="0" tIns="0" rIns="0" bIns="0" rtlCol="0" anchor="b"/>
        <a:lstStyle/>
        <a:p>
          <a:pPr algn="r"/>
          <a:endParaRPr lang="zh-CN" sz="1600" dirty="0">
            <a:solidFill>
              <a:srgbClr val="808080">
                <a:alpha val="19999"/>
              </a:srgbClr>
            </a:solidFill>
            <a:latin typeface="Arial" panose="020B0604020202020204"/>
            <a:ea typeface="宋体" panose="02010600030101010101" pitchFamily="7" charset="-122"/>
          </a:endParaRPr>
        </a:p>
      </xdr:txBody>
    </xdr: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workbookViewId="0">
      <selection activeCell="A1" sqref="A1:G1"/>
    </sheetView>
  </sheetViews>
  <sheetFormatPr defaultColWidth="7.89166666666667" defaultRowHeight="18" outlineLevelCol="6"/>
  <cols>
    <col min="1" max="1" width="21.8416666666667" customWidth="1"/>
    <col min="2" max="7" width="7.28333333333333" customWidth="1"/>
  </cols>
  <sheetData>
    <row r="1" ht="21" spans="1:7">
      <c r="A1" s="1" t="s">
        <v>0</v>
      </c>
      <c r="B1" s="1"/>
      <c r="C1" s="1"/>
      <c r="D1" s="1"/>
      <c r="E1" s="1"/>
      <c r="F1" s="1"/>
      <c r="G1" s="1"/>
    </row>
    <row r="3" spans="1:7">
      <c r="A3" s="23" t="s">
        <v>1</v>
      </c>
    </row>
    <row r="4" ht="26.85" customHeight="1" spans="1:7">
      <c r="A4" s="24" t="s">
        <v>2</v>
      </c>
      <c r="B4" s="25" t="s">
        <v>3</v>
      </c>
      <c r="C4" s="25"/>
      <c r="D4" s="25"/>
      <c r="E4" s="25"/>
      <c r="F4" s="25"/>
      <c r="G4" s="25"/>
    </row>
    <row r="5" ht="26.85" customHeight="1" spans="1:7">
      <c r="A5" s="26" t="s">
        <v>4</v>
      </c>
      <c r="B5" s="25" t="s">
        <v>5</v>
      </c>
      <c r="C5" s="25"/>
      <c r="D5" s="25"/>
      <c r="E5" s="25"/>
      <c r="F5" s="25"/>
      <c r="G5" s="25"/>
    </row>
    <row r="6" ht="26.85" customHeight="1" spans="1:7">
      <c r="A6" s="27" t="s">
        <v>6</v>
      </c>
      <c r="B6" s="25" t="s">
        <v>7</v>
      </c>
      <c r="C6" s="25"/>
      <c r="D6" s="25"/>
      <c r="E6" s="25"/>
      <c r="F6" s="25"/>
      <c r="G6" s="25"/>
    </row>
    <row r="7" ht="26.85" customHeight="1" spans="1:7">
      <c r="A7" s="28" t="s">
        <v>8</v>
      </c>
      <c r="B7" s="25" t="s">
        <v>9</v>
      </c>
      <c r="C7" s="25"/>
      <c r="D7" s="25"/>
      <c r="E7" s="25"/>
      <c r="F7" s="25"/>
      <c r="G7" s="25"/>
    </row>
    <row r="8" ht="15" customHeight="1" spans="1:7">
      <c r="A8" s="29" t="s">
        <v>10</v>
      </c>
      <c r="B8" s="25" t="s">
        <v>11</v>
      </c>
      <c r="C8" s="25"/>
      <c r="D8" s="25"/>
      <c r="E8" s="25"/>
      <c r="F8" s="25"/>
      <c r="G8" s="25"/>
    </row>
    <row r="10" spans="1:7">
      <c r="A10" s="23" t="s">
        <v>12</v>
      </c>
    </row>
    <row r="11" spans="1:7">
      <c r="A11" s="30" t="s">
        <v>13</v>
      </c>
      <c r="B11" s="30"/>
      <c r="C11" s="30"/>
      <c r="D11" s="30"/>
      <c r="E11" s="30"/>
      <c r="F11" s="30"/>
      <c r="G11" s="30"/>
    </row>
    <row r="12" spans="1:7">
      <c r="A12" s="30" t="s">
        <v>14</v>
      </c>
      <c r="B12" s="30"/>
      <c r="C12" s="30"/>
      <c r="D12" s="30"/>
      <c r="E12" s="30"/>
      <c r="F12" s="30"/>
      <c r="G12" s="30"/>
    </row>
    <row r="13" spans="1:7">
      <c r="A13" s="30" t="s">
        <v>15</v>
      </c>
      <c r="B13" s="30"/>
      <c r="C13" s="30"/>
      <c r="D13" s="30"/>
      <c r="E13" s="30"/>
      <c r="F13" s="30"/>
      <c r="G13" s="30"/>
    </row>
    <row r="14" spans="1:7">
      <c r="A14" s="30" t="s">
        <v>16</v>
      </c>
      <c r="B14" s="30"/>
      <c r="C14" s="30"/>
      <c r="D14" s="30"/>
      <c r="E14" s="30"/>
      <c r="F14" s="30"/>
      <c r="G14" s="30"/>
    </row>
    <row r="16" spans="1:7">
      <c r="A16" s="2" t="s">
        <v>17</v>
      </c>
      <c r="B16" s="2" t="s">
        <v>18</v>
      </c>
      <c r="C16" s="2" t="s">
        <v>19</v>
      </c>
      <c r="D16" s="2" t="s">
        <v>20</v>
      </c>
      <c r="E16" s="2" t="s">
        <v>21</v>
      </c>
      <c r="F16" s="2" t="s">
        <v>22</v>
      </c>
      <c r="G16" s="2" t="s">
        <v>23</v>
      </c>
    </row>
    <row r="17" spans="1:7">
      <c r="A17" s="4" t="s">
        <v>24</v>
      </c>
      <c r="B17" s="31">
        <f>COUNTA(列表展示与字段校验!A3:A200)</f>
        <v>9</v>
      </c>
      <c r="C17" s="31">
        <f>COUNTIF(列表展示与字段校验!C3:C200,"P1")</f>
        <v>1</v>
      </c>
      <c r="D17" s="31">
        <f>COUNTIF(列表展示与字段校验!C3:C200,"P2")</f>
        <v>6</v>
      </c>
      <c r="E17" s="31">
        <f>COUNTIF(列表展示与字段校验!C3:C200,"P3")</f>
        <v>1</v>
      </c>
      <c r="F17" s="31">
        <f>COUNTIF(列表展示与字段校验!C3:C200,"P4")</f>
        <v>1</v>
      </c>
      <c r="G17" s="31">
        <f>COUNTIF(列表展示与字段校验!C3:C200,"P5")</f>
        <v>0</v>
      </c>
    </row>
    <row r="18" spans="1:7">
      <c r="A18" s="8" t="s">
        <v>25</v>
      </c>
      <c r="B18" s="32">
        <f>COUNTA(等级新增编辑配置!A3:A200)</f>
        <v>9</v>
      </c>
      <c r="C18" s="32">
        <f>COUNTIF(等级新增编辑配置!C3:C200,"P1")</f>
        <v>1</v>
      </c>
      <c r="D18" s="32">
        <f>COUNTIF(等级新增编辑配置!C3:C200,"P2")</f>
        <v>6</v>
      </c>
      <c r="E18" s="32">
        <f>COUNTIF(等级新增编辑配置!C3:C200,"P3")</f>
        <v>1</v>
      </c>
      <c r="F18" s="32">
        <f>COUNTIF(等级新增编辑配置!C3:C200,"P4")</f>
        <v>1</v>
      </c>
      <c r="G18" s="32">
        <f>COUNTIF(等级新增编辑配置!C3:C200,"P5")</f>
        <v>0</v>
      </c>
    </row>
    <row r="19" spans="1:7">
      <c r="A19" s="4" t="s">
        <v>26</v>
      </c>
      <c r="B19" s="31">
        <f>COUNTA(经验阈值与升降级!A3:A200)</f>
        <v>9</v>
      </c>
      <c r="C19" s="31">
        <f>COUNTIF(经验阈值与升降级!C3:C200,"P1")</f>
        <v>3</v>
      </c>
      <c r="D19" s="31">
        <f>COUNTIF(经验阈值与升降级!C3:C200,"P2")</f>
        <v>5</v>
      </c>
      <c r="E19" s="31">
        <f>COUNTIF(经验阈值与升降级!C3:C200,"P3")</f>
        <v>1</v>
      </c>
      <c r="F19" s="31">
        <f>COUNTIF(经验阈值与升降级!C3:C200,"P4")</f>
        <v>0</v>
      </c>
      <c r="G19" s="31">
        <f>COUNTIF(经验阈值与升降级!C3:C200,"P5")</f>
        <v>0</v>
      </c>
    </row>
    <row r="20" spans="1:7">
      <c r="A20" s="8" t="s">
        <v>27</v>
      </c>
      <c r="B20" s="32">
        <f>COUNTA(权益折扣与奖励生命周期!A3:A200)</f>
        <v>10</v>
      </c>
      <c r="C20" s="32">
        <f>COUNTIF(权益折扣与奖励生命周期!C3:C200,"P1")</f>
        <v>2</v>
      </c>
      <c r="D20" s="32">
        <f>COUNTIF(权益折扣与奖励生命周期!C3:C200,"P2")</f>
        <v>8</v>
      </c>
      <c r="E20" s="32">
        <f>COUNTIF(权益折扣与奖励生命周期!C3:C200,"P3")</f>
        <v>0</v>
      </c>
      <c r="F20" s="32">
        <f>COUNTIF(权益折扣与奖励生命周期!C3:C200,"P4")</f>
        <v>0</v>
      </c>
      <c r="G20" s="32">
        <f>COUNTIF(权益折扣与奖励生命周期!C3:C200,"P5")</f>
        <v>0</v>
      </c>
    </row>
    <row r="21" spans="1:7">
      <c r="A21" s="4" t="s">
        <v>28</v>
      </c>
      <c r="B21" s="31">
        <f>COUNTA(状态停用删除与序号规则!A3:A200)</f>
        <v>10</v>
      </c>
      <c r="C21" s="31">
        <f>COUNTIF(状态停用删除与序号规则!C3:C200,"P1")</f>
        <v>0</v>
      </c>
      <c r="D21" s="31">
        <f>COUNTIF(状态停用删除与序号规则!C3:C200,"P2")</f>
        <v>8</v>
      </c>
      <c r="E21" s="31">
        <f>COUNTIF(状态停用删除与序号规则!C3:C200,"P3")</f>
        <v>2</v>
      </c>
      <c r="F21" s="31">
        <f>COUNTIF(状态停用删除与序号规则!C3:C200,"P4")</f>
        <v>0</v>
      </c>
      <c r="G21" s="31">
        <f>COUNTIF(状态停用删除与序号规则!C3:C200,"P5")</f>
        <v>0</v>
      </c>
    </row>
    <row r="22" spans="1:7">
      <c r="A22" s="8" t="s">
        <v>29</v>
      </c>
      <c r="B22" s="32">
        <f>COUNTA(权限审计与安全可见性!A3:A200)</f>
        <v>9</v>
      </c>
      <c r="C22" s="32">
        <f>COUNTIF(权限审计与安全可见性!C3:C200,"P1")</f>
        <v>1</v>
      </c>
      <c r="D22" s="32">
        <f>COUNTIF(权限审计与安全可见性!C3:C200,"P2")</f>
        <v>6</v>
      </c>
      <c r="E22" s="32">
        <f>COUNTIF(权限审计与安全可见性!C3:C200,"P3")</f>
        <v>2</v>
      </c>
      <c r="F22" s="32">
        <f>COUNTIF(权限审计与安全可见性!C3:C200,"P4")</f>
        <v>0</v>
      </c>
      <c r="G22" s="32">
        <f>COUNTIF(权限审计与安全可见性!C3:C200,"P5")</f>
        <v>0</v>
      </c>
    </row>
    <row r="23" spans="1:7">
      <c r="A23" s="4" t="s">
        <v>30</v>
      </c>
      <c r="B23" s="31">
        <f>COUNTA(兼容性性能与回归!A3:A200)</f>
        <v>9</v>
      </c>
      <c r="C23" s="31">
        <f>COUNTIF(兼容性性能与回归!C3:C200,"P1")</f>
        <v>0</v>
      </c>
      <c r="D23" s="31">
        <f>COUNTIF(兼容性性能与回归!C3:C200,"P2")</f>
        <v>3</v>
      </c>
      <c r="E23" s="31">
        <f>COUNTIF(兼容性性能与回归!C3:C200,"P3")</f>
        <v>2</v>
      </c>
      <c r="F23" s="31">
        <f>COUNTIF(兼容性性能与回归!C3:C200,"P4")</f>
        <v>3</v>
      </c>
      <c r="G23" s="31">
        <f>COUNTIF(兼容性性能与回归!C3:C200,"P5")</f>
        <v>1</v>
      </c>
    </row>
    <row r="24" spans="1:7">
      <c r="A24" s="33" t="s">
        <v>31</v>
      </c>
      <c r="B24" s="33">
        <f t="shared" ref="B24:G24" si="0">SUM(B17:B23)</f>
        <v>65</v>
      </c>
      <c r="C24" s="33">
        <f t="shared" si="0"/>
        <v>8</v>
      </c>
      <c r="D24" s="33">
        <f t="shared" si="0"/>
        <v>42</v>
      </c>
      <c r="E24" s="33">
        <f t="shared" si="0"/>
        <v>9</v>
      </c>
      <c r="F24" s="33">
        <f t="shared" si="0"/>
        <v>5</v>
      </c>
      <c r="G24" s="33">
        <f t="shared" si="0"/>
        <v>1</v>
      </c>
    </row>
    <row r="26" spans="1:7">
      <c r="A26" s="34" t="str">
        <f>CONCATENATE("P1占比: ",C24,"/",B24," = ",TEXT(C24/B24*100,"0.0"),"%  (",IF(C24/B24*100&lt;=15,"✓符合≤15%","✗超出15%"),")")</f>
        <v>P1占比: 8/65 = 12.3%  (✓符合≤15%)</v>
      </c>
      <c r="B26" s="34"/>
      <c r="C26" s="34"/>
      <c r="D26" s="34"/>
      <c r="E26" s="34"/>
      <c r="F26" s="34"/>
      <c r="G26" s="34"/>
    </row>
  </sheetData>
  <mergeCells count="11">
    <mergeCell ref="A1:G1"/>
    <mergeCell ref="B4:G4"/>
    <mergeCell ref="B5:G5"/>
    <mergeCell ref="B6:G6"/>
    <mergeCell ref="B7:G7"/>
    <mergeCell ref="B8:G8"/>
    <mergeCell ref="A11:G11"/>
    <mergeCell ref="A12:G12"/>
    <mergeCell ref="A13:G13"/>
    <mergeCell ref="A14:G14"/>
    <mergeCell ref="A26:G26"/>
  </mergeCells>
  <pageMargins left="0.75" right="0.75" top="1" bottom="1" header="0.511811023622047" footer="0.511811023622047"/>
  <pageSetup paperSize="9" orientation="portrait" horizontalDpi="300"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opLeftCell="A11" workbookViewId="0">
      <selection activeCell="A1" sqref="A1:G1"/>
    </sheetView>
  </sheetViews>
  <sheetFormatPr defaultColWidth="7.89166666666667" defaultRowHeight="18" outlineLevelCol="6"/>
  <cols>
    <col min="1" max="1" width="7.28333333333333" customWidth="1"/>
    <col min="2" max="2" width="21.8416666666667" customWidth="1"/>
    <col min="3" max="4" width="32.7583333333333" customWidth="1"/>
    <col min="5" max="5" width="7.28333333333333" customWidth="1"/>
    <col min="6" max="6" width="10.9166666666667" customWidth="1"/>
    <col min="7" max="7" width="32.7583333333333" customWidth="1"/>
  </cols>
  <sheetData>
    <row r="1" ht="21" spans="1:7">
      <c r="A1" s="1" t="s">
        <v>32</v>
      </c>
      <c r="B1" s="1"/>
      <c r="C1" s="1"/>
      <c r="D1" s="1"/>
      <c r="E1" s="1"/>
      <c r="F1" s="1"/>
      <c r="G1" s="1"/>
    </row>
    <row r="3" spans="1:7">
      <c r="A3" s="2" t="s">
        <v>33</v>
      </c>
      <c r="B3" s="2" t="s">
        <v>34</v>
      </c>
      <c r="C3" s="2" t="s">
        <v>35</v>
      </c>
      <c r="D3" s="2" t="s">
        <v>36</v>
      </c>
      <c r="E3" s="2" t="s">
        <v>37</v>
      </c>
      <c r="F3" s="2" t="s">
        <v>38</v>
      </c>
      <c r="G3" s="2" t="s">
        <v>39</v>
      </c>
    </row>
    <row r="4" ht="60" customHeight="1" spans="1:7">
      <c r="A4" s="4" t="s">
        <v>40</v>
      </c>
      <c r="B4" s="4" t="s">
        <v>41</v>
      </c>
      <c r="C4" s="4" t="s">
        <v>42</v>
      </c>
      <c r="D4" s="4" t="s">
        <v>43</v>
      </c>
      <c r="E4" s="4" t="s">
        <v>19</v>
      </c>
      <c r="F4" s="19" t="s">
        <v>44</v>
      </c>
      <c r="G4" s="4" t="s">
        <v>45</v>
      </c>
    </row>
    <row r="5" ht="60" customHeight="1" spans="1:7">
      <c r="A5" s="8" t="s">
        <v>46</v>
      </c>
      <c r="B5" s="8" t="s">
        <v>47</v>
      </c>
      <c r="C5" s="8" t="s">
        <v>48</v>
      </c>
      <c r="D5" s="8" t="s">
        <v>49</v>
      </c>
      <c r="E5" s="8" t="s">
        <v>21</v>
      </c>
      <c r="F5" s="20" t="s">
        <v>50</v>
      </c>
      <c r="G5" s="8"/>
    </row>
    <row r="6" ht="60" customHeight="1" spans="1:7">
      <c r="A6" s="4" t="s">
        <v>51</v>
      </c>
      <c r="B6" s="4" t="s">
        <v>52</v>
      </c>
      <c r="C6" s="4" t="s">
        <v>53</v>
      </c>
      <c r="D6" s="4" t="s">
        <v>54</v>
      </c>
      <c r="E6" s="4" t="s">
        <v>21</v>
      </c>
      <c r="F6" s="21" t="s">
        <v>50</v>
      </c>
      <c r="G6" s="4"/>
    </row>
    <row r="7" ht="60" customHeight="1" spans="1:7">
      <c r="A7" s="8" t="s">
        <v>55</v>
      </c>
      <c r="B7" s="8" t="s">
        <v>56</v>
      </c>
      <c r="C7" s="8" t="s">
        <v>57</v>
      </c>
      <c r="D7" s="8" t="s">
        <v>58</v>
      </c>
      <c r="E7" s="8" t="s">
        <v>20</v>
      </c>
      <c r="F7" s="20" t="s">
        <v>50</v>
      </c>
      <c r="G7" s="8"/>
    </row>
    <row r="8" ht="60" customHeight="1" spans="1:7">
      <c r="A8" s="4" t="s">
        <v>59</v>
      </c>
      <c r="B8" s="4" t="s">
        <v>60</v>
      </c>
      <c r="C8" s="4" t="s">
        <v>61</v>
      </c>
      <c r="D8" s="4" t="s">
        <v>62</v>
      </c>
      <c r="E8" s="4" t="s">
        <v>19</v>
      </c>
      <c r="F8" s="19" t="s">
        <v>44</v>
      </c>
      <c r="G8" s="4" t="s">
        <v>63</v>
      </c>
    </row>
    <row r="9" ht="60" customHeight="1" spans="1:7">
      <c r="A9" s="8" t="s">
        <v>64</v>
      </c>
      <c r="B9" s="8" t="s">
        <v>65</v>
      </c>
      <c r="C9" s="8" t="s">
        <v>66</v>
      </c>
      <c r="D9" s="8" t="s">
        <v>67</v>
      </c>
      <c r="E9" s="8" t="s">
        <v>20</v>
      </c>
      <c r="F9" s="20" t="s">
        <v>50</v>
      </c>
      <c r="G9" s="8"/>
    </row>
    <row r="10" ht="60" customHeight="1" spans="1:7">
      <c r="A10" s="4" t="s">
        <v>68</v>
      </c>
      <c r="B10" s="4" t="s">
        <v>69</v>
      </c>
      <c r="C10" s="4" t="s">
        <v>70</v>
      </c>
      <c r="D10" s="4" t="s">
        <v>71</v>
      </c>
      <c r="E10" s="4" t="s">
        <v>20</v>
      </c>
      <c r="F10" s="21" t="s">
        <v>50</v>
      </c>
      <c r="G10" s="4"/>
    </row>
    <row r="11" ht="60" customHeight="1" spans="1:7">
      <c r="A11" s="8" t="s">
        <v>72</v>
      </c>
      <c r="B11" s="8" t="s">
        <v>73</v>
      </c>
      <c r="C11" s="8" t="s">
        <v>74</v>
      </c>
      <c r="D11" s="8" t="s">
        <v>75</v>
      </c>
      <c r="E11" s="8" t="s">
        <v>21</v>
      </c>
      <c r="F11" s="20" t="s">
        <v>50</v>
      </c>
      <c r="G11" s="8"/>
    </row>
    <row r="12" ht="60" customHeight="1" spans="1:7">
      <c r="A12" s="4" t="s">
        <v>76</v>
      </c>
      <c r="B12" s="4" t="s">
        <v>77</v>
      </c>
      <c r="C12" s="4" t="s">
        <v>78</v>
      </c>
      <c r="D12" s="4" t="s">
        <v>79</v>
      </c>
      <c r="E12" s="4" t="s">
        <v>19</v>
      </c>
      <c r="F12" s="19" t="s">
        <v>44</v>
      </c>
      <c r="G12" s="4" t="s">
        <v>80</v>
      </c>
    </row>
    <row r="13" ht="60" customHeight="1" spans="1:7">
      <c r="A13" s="8" t="s">
        <v>81</v>
      </c>
      <c r="B13" s="8" t="s">
        <v>82</v>
      </c>
      <c r="C13" s="8" t="s">
        <v>83</v>
      </c>
      <c r="D13" s="8" t="s">
        <v>84</v>
      </c>
      <c r="E13" s="8" t="s">
        <v>19</v>
      </c>
      <c r="F13" s="22" t="s">
        <v>44</v>
      </c>
      <c r="G13" s="8" t="s">
        <v>85</v>
      </c>
    </row>
    <row r="14" ht="60" customHeight="1" spans="1:7">
      <c r="A14" s="4" t="s">
        <v>86</v>
      </c>
      <c r="B14" s="4" t="s">
        <v>87</v>
      </c>
      <c r="C14" s="4" t="s">
        <v>88</v>
      </c>
      <c r="D14" s="4" t="s">
        <v>89</v>
      </c>
      <c r="E14" s="4" t="s">
        <v>20</v>
      </c>
      <c r="F14" s="19" t="s">
        <v>44</v>
      </c>
      <c r="G14" s="4" t="s">
        <v>63</v>
      </c>
    </row>
    <row r="15" ht="60" customHeight="1" spans="1:7">
      <c r="A15" s="8" t="s">
        <v>90</v>
      </c>
      <c r="B15" s="8" t="s">
        <v>91</v>
      </c>
      <c r="C15" s="8" t="s">
        <v>92</v>
      </c>
      <c r="D15" s="8" t="s">
        <v>93</v>
      </c>
      <c r="E15" s="8" t="s">
        <v>20</v>
      </c>
      <c r="F15" s="22" t="s">
        <v>44</v>
      </c>
      <c r="G15" s="8" t="s">
        <v>94</v>
      </c>
    </row>
    <row r="16" ht="60" customHeight="1" spans="1:7">
      <c r="A16" s="4" t="s">
        <v>95</v>
      </c>
      <c r="B16" s="4" t="s">
        <v>96</v>
      </c>
      <c r="C16" s="4" t="s">
        <v>97</v>
      </c>
      <c r="D16" s="4" t="s">
        <v>98</v>
      </c>
      <c r="E16" s="4" t="s">
        <v>19</v>
      </c>
      <c r="F16" s="19" t="s">
        <v>44</v>
      </c>
      <c r="G16" s="4" t="s">
        <v>99</v>
      </c>
    </row>
    <row r="17" ht="60" customHeight="1" spans="1:7">
      <c r="A17" s="8" t="s">
        <v>100</v>
      </c>
      <c r="B17" s="8" t="s">
        <v>101</v>
      </c>
      <c r="C17" s="8" t="s">
        <v>102</v>
      </c>
      <c r="D17" s="8" t="s">
        <v>103</v>
      </c>
      <c r="E17" s="8" t="s">
        <v>20</v>
      </c>
      <c r="F17" s="22" t="s">
        <v>44</v>
      </c>
      <c r="G17" s="8" t="s">
        <v>104</v>
      </c>
    </row>
    <row r="18" ht="60" customHeight="1" spans="1:7">
      <c r="A18" s="4" t="s">
        <v>105</v>
      </c>
      <c r="B18" s="4" t="s">
        <v>106</v>
      </c>
      <c r="C18" s="4" t="s">
        <v>107</v>
      </c>
      <c r="D18" s="4" t="s">
        <v>108</v>
      </c>
      <c r="E18" s="4" t="s">
        <v>21</v>
      </c>
      <c r="F18" s="19" t="s">
        <v>44</v>
      </c>
      <c r="G18" s="4" t="s">
        <v>109</v>
      </c>
    </row>
  </sheetData>
  <mergeCells count="1">
    <mergeCell ref="A1:G1"/>
  </mergeCells>
  <pageMargins left="0.75" right="0.75" top="1" bottom="1" header="0.511811023622047" footer="0.511811023622047"/>
  <pageSetup paperSize="9" orientation="portrait" horizontalDpi="300" verticalDpi="300"/>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pane ySplit="2" topLeftCell="A9" activePane="bottomLeft" state="frozen"/>
      <selection/>
      <selection pane="bottomLeft" activeCell="I9" sqref="I9:I10"/>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16.3833333333333" customWidth="1"/>
    <col min="9" max="9" width="9.1" customWidth="1"/>
  </cols>
  <sheetData>
    <row r="1" ht="21" spans="1:9">
      <c r="A1" s="1" t="s">
        <v>110</v>
      </c>
      <c r="B1" s="1"/>
      <c r="C1" s="1"/>
      <c r="D1" s="1"/>
      <c r="E1" s="1"/>
      <c r="F1" s="1"/>
      <c r="G1" s="1"/>
      <c r="H1" s="1"/>
      <c r="I1" s="1"/>
    </row>
    <row r="2" spans="1:9">
      <c r="A2" s="2" t="s">
        <v>111</v>
      </c>
      <c r="B2" s="2" t="s">
        <v>112</v>
      </c>
      <c r="C2" s="2" t="s">
        <v>113</v>
      </c>
      <c r="D2" s="2" t="s">
        <v>114</v>
      </c>
      <c r="E2" s="2" t="s">
        <v>115</v>
      </c>
      <c r="F2" s="2" t="s">
        <v>116</v>
      </c>
      <c r="G2" s="2" t="s">
        <v>117</v>
      </c>
      <c r="H2" s="2" t="s">
        <v>118</v>
      </c>
      <c r="I2" s="2" t="s">
        <v>119</v>
      </c>
    </row>
    <row r="3" ht="94.5" customHeight="1" spans="1:9">
      <c r="A3" s="3" t="s">
        <v>120</v>
      </c>
      <c r="B3" s="4" t="s">
        <v>121</v>
      </c>
      <c r="C3" s="14" t="s">
        <v>20</v>
      </c>
      <c r="D3" s="4" t="s">
        <v>122</v>
      </c>
      <c r="E3" s="4" t="s">
        <v>123</v>
      </c>
      <c r="F3" s="4" t="s">
        <v>124</v>
      </c>
      <c r="G3" s="4" t="s">
        <v>125</v>
      </c>
      <c r="H3" s="4" t="s">
        <v>126</v>
      </c>
      <c r="I3" s="6" t="s">
        <v>127</v>
      </c>
    </row>
    <row r="4" ht="94.5" customHeight="1" spans="1:9">
      <c r="A4" s="7" t="s">
        <v>128</v>
      </c>
      <c r="B4" s="8" t="s">
        <v>129</v>
      </c>
      <c r="C4" s="12" t="s">
        <v>20</v>
      </c>
      <c r="D4" s="8" t="s">
        <v>122</v>
      </c>
      <c r="E4" s="8" t="s">
        <v>130</v>
      </c>
      <c r="F4" s="8" t="s">
        <v>131</v>
      </c>
      <c r="G4" s="8" t="s">
        <v>132</v>
      </c>
      <c r="H4" s="8" t="s">
        <v>126</v>
      </c>
      <c r="I4" s="10" t="s">
        <v>127</v>
      </c>
    </row>
    <row r="5" ht="94.5" customHeight="1" spans="1:9">
      <c r="A5" s="3" t="s">
        <v>133</v>
      </c>
      <c r="B5" s="4" t="s">
        <v>134</v>
      </c>
      <c r="C5" s="14" t="s">
        <v>20</v>
      </c>
      <c r="D5" s="4" t="s">
        <v>122</v>
      </c>
      <c r="E5" s="4" t="s">
        <v>135</v>
      </c>
      <c r="F5" s="4" t="s">
        <v>136</v>
      </c>
      <c r="G5" s="4" t="s">
        <v>137</v>
      </c>
      <c r="H5" s="4" t="s">
        <v>138</v>
      </c>
      <c r="I5" s="6" t="s">
        <v>127</v>
      </c>
    </row>
    <row r="6" ht="94.5" customHeight="1" spans="1:9">
      <c r="A6" s="7" t="s">
        <v>139</v>
      </c>
      <c r="B6" s="8" t="s">
        <v>140</v>
      </c>
      <c r="C6" s="12" t="s">
        <v>20</v>
      </c>
      <c r="D6" s="8" t="s">
        <v>122</v>
      </c>
      <c r="E6" s="8" t="s">
        <v>141</v>
      </c>
      <c r="F6" s="8" t="s">
        <v>142</v>
      </c>
      <c r="G6" s="8" t="s">
        <v>143</v>
      </c>
      <c r="H6" s="8" t="s">
        <v>144</v>
      </c>
      <c r="I6" s="10" t="s">
        <v>127</v>
      </c>
    </row>
    <row r="7" ht="94.5" customHeight="1" spans="1:9">
      <c r="A7" s="3" t="s">
        <v>145</v>
      </c>
      <c r="B7" s="4" t="s">
        <v>146</v>
      </c>
      <c r="C7" s="15" t="s">
        <v>19</v>
      </c>
      <c r="D7" s="4" t="s">
        <v>122</v>
      </c>
      <c r="E7" s="4" t="s">
        <v>147</v>
      </c>
      <c r="F7" s="4" t="s">
        <v>148</v>
      </c>
      <c r="G7" s="4" t="s">
        <v>149</v>
      </c>
      <c r="H7" s="4" t="s">
        <v>150</v>
      </c>
      <c r="I7" s="6" t="s">
        <v>127</v>
      </c>
    </row>
    <row r="8" ht="94.5" customHeight="1" spans="1:9">
      <c r="A8" s="7" t="s">
        <v>151</v>
      </c>
      <c r="B8" s="8" t="s">
        <v>152</v>
      </c>
      <c r="C8" s="12" t="s">
        <v>20</v>
      </c>
      <c r="D8" s="8" t="s">
        <v>122</v>
      </c>
      <c r="E8" s="8" t="s">
        <v>153</v>
      </c>
      <c r="F8" s="8" t="s">
        <v>154</v>
      </c>
      <c r="G8" s="8" t="s">
        <v>155</v>
      </c>
      <c r="H8" s="8" t="s">
        <v>126</v>
      </c>
      <c r="I8" s="10" t="s">
        <v>127</v>
      </c>
    </row>
    <row r="9" ht="94.5" customHeight="1" spans="1:9">
      <c r="A9" s="3" t="s">
        <v>156</v>
      </c>
      <c r="B9" s="4" t="s">
        <v>157</v>
      </c>
      <c r="C9" s="14" t="s">
        <v>20</v>
      </c>
      <c r="D9" s="4" t="s">
        <v>122</v>
      </c>
      <c r="E9" s="4" t="s">
        <v>158</v>
      </c>
      <c r="F9" s="4" t="s">
        <v>159</v>
      </c>
      <c r="G9" s="4" t="s">
        <v>160</v>
      </c>
      <c r="H9" s="4" t="s">
        <v>161</v>
      </c>
      <c r="I9" s="6" t="s">
        <v>127</v>
      </c>
    </row>
    <row r="10" ht="94.5" customHeight="1" spans="1:9">
      <c r="A10" s="7" t="s">
        <v>162</v>
      </c>
      <c r="B10" s="8" t="s">
        <v>163</v>
      </c>
      <c r="C10" s="18" t="s">
        <v>22</v>
      </c>
      <c r="D10" s="8" t="s">
        <v>122</v>
      </c>
      <c r="E10" s="8" t="s">
        <v>164</v>
      </c>
      <c r="F10" s="8" t="s">
        <v>165</v>
      </c>
      <c r="G10" s="8" t="s">
        <v>166</v>
      </c>
      <c r="H10" s="8" t="s">
        <v>167</v>
      </c>
      <c r="I10" s="10" t="s">
        <v>127</v>
      </c>
    </row>
    <row r="11" ht="94.5" customHeight="1" spans="1:9">
      <c r="A11" s="3" t="s">
        <v>168</v>
      </c>
      <c r="B11" s="4" t="s">
        <v>169</v>
      </c>
      <c r="C11" s="5" t="s">
        <v>21</v>
      </c>
      <c r="D11" s="4" t="s">
        <v>122</v>
      </c>
      <c r="E11" s="4" t="s">
        <v>170</v>
      </c>
      <c r="F11" s="4" t="s">
        <v>171</v>
      </c>
      <c r="G11" s="4" t="s">
        <v>172</v>
      </c>
      <c r="H11" s="4" t="s">
        <v>173</v>
      </c>
      <c r="I11" s="6" t="s">
        <v>127</v>
      </c>
    </row>
  </sheetData>
  <mergeCells count="1">
    <mergeCell ref="A1:I1"/>
  </mergeCells>
  <pageMargins left="0.75" right="0.75" top="1" bottom="1" header="0.511811023622047" footer="0.511811023622047"/>
  <pageSetup paperSize="9" orientation="portrait" horizontalDpi="300" verticalDpi="300"/>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pane ySplit="2" topLeftCell="A8" activePane="bottomLeft" state="frozen"/>
      <selection/>
      <selection pane="bottomLeft" activeCell="I9" sqref="I9:I10"/>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27.25" customWidth="1"/>
    <col min="9" max="9" width="9.1" customWidth="1"/>
  </cols>
  <sheetData>
    <row r="1" ht="21" spans="1:9">
      <c r="A1" s="1" t="s">
        <v>174</v>
      </c>
      <c r="B1" s="1"/>
      <c r="C1" s="1"/>
      <c r="D1" s="1"/>
      <c r="E1" s="1"/>
      <c r="F1" s="1"/>
      <c r="G1" s="1"/>
      <c r="H1" s="1"/>
      <c r="I1" s="1"/>
    </row>
    <row r="2" spans="1:9">
      <c r="A2" s="2" t="s">
        <v>111</v>
      </c>
      <c r="B2" s="2" t="s">
        <v>112</v>
      </c>
      <c r="C2" s="2" t="s">
        <v>113</v>
      </c>
      <c r="D2" s="2" t="s">
        <v>114</v>
      </c>
      <c r="E2" s="2" t="s">
        <v>115</v>
      </c>
      <c r="F2" s="2" t="s">
        <v>116</v>
      </c>
      <c r="G2" s="2" t="s">
        <v>117</v>
      </c>
      <c r="H2" s="2" t="s">
        <v>118</v>
      </c>
      <c r="I2" s="2" t="s">
        <v>119</v>
      </c>
    </row>
    <row r="3" ht="94.5" customHeight="1" spans="1:9">
      <c r="A3" s="3" t="s">
        <v>175</v>
      </c>
      <c r="B3" s="4" t="s">
        <v>176</v>
      </c>
      <c r="C3" s="14" t="s">
        <v>20</v>
      </c>
      <c r="D3" s="4" t="s">
        <v>122</v>
      </c>
      <c r="E3" s="4" t="s">
        <v>177</v>
      </c>
      <c r="F3" s="4" t="s">
        <v>178</v>
      </c>
      <c r="G3" s="4" t="s">
        <v>179</v>
      </c>
      <c r="H3" s="4" t="s">
        <v>180</v>
      </c>
      <c r="I3" s="6" t="s">
        <v>127</v>
      </c>
    </row>
    <row r="4" ht="94.5" customHeight="1" spans="1:9">
      <c r="A4" s="7" t="s">
        <v>181</v>
      </c>
      <c r="B4" s="8" t="s">
        <v>182</v>
      </c>
      <c r="C4" s="17" t="s">
        <v>19</v>
      </c>
      <c r="D4" s="8" t="s">
        <v>122</v>
      </c>
      <c r="E4" s="8" t="s">
        <v>183</v>
      </c>
      <c r="F4" s="8" t="s">
        <v>184</v>
      </c>
      <c r="G4" s="8" t="s">
        <v>185</v>
      </c>
      <c r="H4" s="8" t="s">
        <v>186</v>
      </c>
      <c r="I4" s="10" t="s">
        <v>127</v>
      </c>
    </row>
    <row r="5" ht="94.5" customHeight="1" spans="1:9">
      <c r="A5" s="3" t="s">
        <v>187</v>
      </c>
      <c r="B5" s="4" t="s">
        <v>188</v>
      </c>
      <c r="C5" s="14" t="s">
        <v>20</v>
      </c>
      <c r="D5" s="4" t="s">
        <v>122</v>
      </c>
      <c r="E5" s="4" t="s">
        <v>189</v>
      </c>
      <c r="F5" s="4" t="s">
        <v>190</v>
      </c>
      <c r="G5" s="4" t="s">
        <v>191</v>
      </c>
      <c r="H5" s="4" t="s">
        <v>191</v>
      </c>
      <c r="I5" s="6" t="s">
        <v>127</v>
      </c>
    </row>
    <row r="6" ht="94.5" customHeight="1" spans="1:9">
      <c r="A6" s="7" t="s">
        <v>192</v>
      </c>
      <c r="B6" s="8" t="s">
        <v>193</v>
      </c>
      <c r="C6" s="12" t="s">
        <v>20</v>
      </c>
      <c r="D6" s="8" t="s">
        <v>122</v>
      </c>
      <c r="E6" s="8" t="s">
        <v>194</v>
      </c>
      <c r="F6" s="8" t="s">
        <v>195</v>
      </c>
      <c r="G6" s="8" t="s">
        <v>196</v>
      </c>
      <c r="H6" s="8" t="s">
        <v>197</v>
      </c>
      <c r="I6" s="10" t="s">
        <v>127</v>
      </c>
    </row>
    <row r="7" ht="94.5" customHeight="1" spans="1:9">
      <c r="A7" s="3" t="s">
        <v>198</v>
      </c>
      <c r="B7" s="4" t="s">
        <v>199</v>
      </c>
      <c r="C7" s="14" t="s">
        <v>20</v>
      </c>
      <c r="D7" s="4" t="s">
        <v>122</v>
      </c>
      <c r="E7" s="4" t="s">
        <v>200</v>
      </c>
      <c r="F7" s="4" t="s">
        <v>201</v>
      </c>
      <c r="G7" s="4" t="s">
        <v>202</v>
      </c>
      <c r="H7" s="4" t="s">
        <v>203</v>
      </c>
      <c r="I7" s="6" t="s">
        <v>127</v>
      </c>
    </row>
    <row r="8" ht="94.5" customHeight="1" spans="1:9">
      <c r="A8" s="7" t="s">
        <v>204</v>
      </c>
      <c r="B8" s="8" t="s">
        <v>205</v>
      </c>
      <c r="C8" s="9" t="s">
        <v>21</v>
      </c>
      <c r="D8" s="8" t="s">
        <v>122</v>
      </c>
      <c r="E8" s="8" t="s">
        <v>206</v>
      </c>
      <c r="F8" s="8" t="s">
        <v>207</v>
      </c>
      <c r="G8" s="8" t="s">
        <v>208</v>
      </c>
      <c r="H8" s="8" t="s">
        <v>208</v>
      </c>
      <c r="I8" s="10" t="s">
        <v>127</v>
      </c>
    </row>
    <row r="9" ht="94.5" customHeight="1" spans="1:9">
      <c r="A9" s="3" t="s">
        <v>209</v>
      </c>
      <c r="B9" s="4" t="s">
        <v>210</v>
      </c>
      <c r="C9" s="14" t="s">
        <v>20</v>
      </c>
      <c r="D9" s="4" t="s">
        <v>122</v>
      </c>
      <c r="E9" s="4" t="s">
        <v>211</v>
      </c>
      <c r="F9" s="4" t="s">
        <v>212</v>
      </c>
      <c r="G9" s="4" t="s">
        <v>213</v>
      </c>
      <c r="H9" s="4" t="s">
        <v>214</v>
      </c>
      <c r="I9" s="6" t="s">
        <v>127</v>
      </c>
    </row>
    <row r="10" ht="94.5" customHeight="1" spans="1:9">
      <c r="A10" s="7" t="s">
        <v>215</v>
      </c>
      <c r="B10" s="8" t="s">
        <v>216</v>
      </c>
      <c r="C10" s="12" t="s">
        <v>20</v>
      </c>
      <c r="D10" s="8" t="s">
        <v>122</v>
      </c>
      <c r="E10" s="8" t="s">
        <v>217</v>
      </c>
      <c r="F10" s="8" t="s">
        <v>218</v>
      </c>
      <c r="G10" s="8" t="s">
        <v>219</v>
      </c>
      <c r="H10" s="8" t="s">
        <v>220</v>
      </c>
      <c r="I10" s="10" t="s">
        <v>127</v>
      </c>
    </row>
    <row r="11" ht="94.5" customHeight="1" spans="1:9">
      <c r="A11" s="3" t="s">
        <v>221</v>
      </c>
      <c r="B11" s="4" t="s">
        <v>222</v>
      </c>
      <c r="C11" s="11" t="s">
        <v>22</v>
      </c>
      <c r="D11" s="4" t="s">
        <v>122</v>
      </c>
      <c r="E11" s="4" t="s">
        <v>223</v>
      </c>
      <c r="F11" s="4" t="s">
        <v>224</v>
      </c>
      <c r="G11" s="4" t="s">
        <v>225</v>
      </c>
      <c r="H11" s="4" t="s">
        <v>226</v>
      </c>
      <c r="I11" s="6" t="s">
        <v>127</v>
      </c>
    </row>
  </sheetData>
  <mergeCells count="1">
    <mergeCell ref="A1:I1"/>
  </mergeCells>
  <pageMargins left="0.75" right="0.75" top="1" bottom="1" header="0.511811023622047" footer="0.511811023622047"/>
  <pageSetup paperSize="9" orientation="portrait" horizontalDpi="300" verticalDpi="300"/>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tabSelected="1" workbookViewId="0">
      <pane ySplit="2" topLeftCell="A3" activePane="bottomLeft" state="frozen"/>
      <selection/>
      <selection pane="bottomLeft" activeCell="I5" sqref="I5:I6"/>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35.5" customWidth="1"/>
    <col min="9" max="9" width="9.1" customWidth="1"/>
  </cols>
  <sheetData>
    <row r="1" ht="21" spans="1:9">
      <c r="A1" s="1" t="s">
        <v>227</v>
      </c>
      <c r="B1" s="1"/>
      <c r="C1" s="1"/>
      <c r="D1" s="1"/>
      <c r="E1" s="1"/>
      <c r="F1" s="1"/>
      <c r="G1" s="1"/>
      <c r="H1" s="1"/>
      <c r="I1" s="1"/>
    </row>
    <row r="2" spans="1:9">
      <c r="A2" s="2" t="s">
        <v>111</v>
      </c>
      <c r="B2" s="2" t="s">
        <v>112</v>
      </c>
      <c r="C2" s="2" t="s">
        <v>113</v>
      </c>
      <c r="D2" s="2" t="s">
        <v>114</v>
      </c>
      <c r="E2" s="2" t="s">
        <v>115</v>
      </c>
      <c r="F2" s="2" t="s">
        <v>116</v>
      </c>
      <c r="G2" s="2" t="s">
        <v>117</v>
      </c>
      <c r="H2" s="2" t="s">
        <v>118</v>
      </c>
      <c r="I2" s="2" t="s">
        <v>119</v>
      </c>
    </row>
    <row r="3" ht="94.5" customHeight="1" spans="1:9">
      <c r="A3" s="3" t="s">
        <v>228</v>
      </c>
      <c r="B3" s="4" t="s">
        <v>229</v>
      </c>
      <c r="C3" s="14" t="s">
        <v>20</v>
      </c>
      <c r="D3" s="4" t="s">
        <v>122</v>
      </c>
      <c r="E3" s="4" t="s">
        <v>230</v>
      </c>
      <c r="F3" s="4" t="s">
        <v>231</v>
      </c>
      <c r="G3" s="4" t="s">
        <v>232</v>
      </c>
      <c r="H3" s="4"/>
      <c r="I3" s="6"/>
    </row>
    <row r="4" ht="94.5" customHeight="1" spans="1:9">
      <c r="A4" s="7" t="s">
        <v>233</v>
      </c>
      <c r="B4" s="8" t="s">
        <v>234</v>
      </c>
      <c r="C4" s="17" t="s">
        <v>19</v>
      </c>
      <c r="D4" s="8" t="s">
        <v>122</v>
      </c>
      <c r="E4" s="8" t="s">
        <v>235</v>
      </c>
      <c r="F4" s="8" t="s">
        <v>236</v>
      </c>
      <c r="G4" s="8" t="s">
        <v>237</v>
      </c>
      <c r="H4" s="8" t="s">
        <v>238</v>
      </c>
      <c r="I4" s="10" t="s">
        <v>127</v>
      </c>
    </row>
    <row r="5" ht="94.5" customHeight="1" spans="1:9">
      <c r="A5" s="3" t="s">
        <v>239</v>
      </c>
      <c r="B5" s="4" t="s">
        <v>240</v>
      </c>
      <c r="C5" s="14" t="s">
        <v>20</v>
      </c>
      <c r="D5" s="4" t="s">
        <v>122</v>
      </c>
      <c r="E5" s="4" t="s">
        <v>241</v>
      </c>
      <c r="F5" s="4" t="s">
        <v>242</v>
      </c>
      <c r="G5" s="4" t="s">
        <v>243</v>
      </c>
      <c r="H5" s="4" t="s">
        <v>243</v>
      </c>
      <c r="I5" s="6" t="s">
        <v>127</v>
      </c>
    </row>
    <row r="6" ht="94.5" customHeight="1" spans="1:9">
      <c r="A6" s="7" t="s">
        <v>244</v>
      </c>
      <c r="B6" s="8" t="s">
        <v>245</v>
      </c>
      <c r="C6" s="17" t="s">
        <v>19</v>
      </c>
      <c r="D6" s="8" t="s">
        <v>122</v>
      </c>
      <c r="E6" s="8" t="s">
        <v>246</v>
      </c>
      <c r="F6" s="8" t="s">
        <v>247</v>
      </c>
      <c r="G6" s="8" t="s">
        <v>248</v>
      </c>
      <c r="H6" s="8" t="s">
        <v>249</v>
      </c>
      <c r="I6" s="10" t="s">
        <v>127</v>
      </c>
    </row>
    <row r="7" ht="94.5" customHeight="1" spans="1:9">
      <c r="A7" s="3" t="s">
        <v>250</v>
      </c>
      <c r="B7" s="4" t="s">
        <v>251</v>
      </c>
      <c r="C7" s="15" t="s">
        <v>19</v>
      </c>
      <c r="D7" s="4" t="s">
        <v>122</v>
      </c>
      <c r="E7" s="4" t="s">
        <v>252</v>
      </c>
      <c r="F7" s="4" t="s">
        <v>253</v>
      </c>
      <c r="G7" s="4" t="s">
        <v>254</v>
      </c>
      <c r="H7" s="4" t="s">
        <v>254</v>
      </c>
      <c r="I7" s="6" t="s">
        <v>127</v>
      </c>
    </row>
    <row r="8" ht="94.5" customHeight="1" spans="1:9">
      <c r="A8" s="7" t="s">
        <v>255</v>
      </c>
      <c r="B8" s="8" t="s">
        <v>256</v>
      </c>
      <c r="C8" s="12" t="s">
        <v>20</v>
      </c>
      <c r="D8" s="8" t="s">
        <v>122</v>
      </c>
      <c r="E8" s="8" t="s">
        <v>257</v>
      </c>
      <c r="F8" s="8" t="s">
        <v>258</v>
      </c>
      <c r="G8" s="8" t="s">
        <v>259</v>
      </c>
      <c r="H8" s="8" t="s">
        <v>260</v>
      </c>
      <c r="I8" s="10" t="s">
        <v>127</v>
      </c>
    </row>
    <row r="9" ht="94.5" customHeight="1" spans="1:9">
      <c r="A9" s="3" t="s">
        <v>261</v>
      </c>
      <c r="B9" s="4" t="s">
        <v>262</v>
      </c>
      <c r="C9" s="14" t="s">
        <v>20</v>
      </c>
      <c r="D9" s="4" t="s">
        <v>122</v>
      </c>
      <c r="E9" s="4" t="s">
        <v>263</v>
      </c>
      <c r="F9" s="4" t="s">
        <v>264</v>
      </c>
      <c r="G9" s="4" t="s">
        <v>265</v>
      </c>
      <c r="H9" s="4" t="s">
        <v>266</v>
      </c>
      <c r="I9" s="6" t="s">
        <v>127</v>
      </c>
    </row>
    <row r="10" ht="94.5" customHeight="1" spans="1:9">
      <c r="A10" s="7" t="s">
        <v>267</v>
      </c>
      <c r="B10" s="8" t="s">
        <v>268</v>
      </c>
      <c r="C10" s="12" t="s">
        <v>20</v>
      </c>
      <c r="D10" s="8" t="s">
        <v>122</v>
      </c>
      <c r="E10" s="8" t="s">
        <v>269</v>
      </c>
      <c r="F10" s="8" t="s">
        <v>270</v>
      </c>
      <c r="G10" s="8" t="s">
        <v>271</v>
      </c>
      <c r="H10" s="8" t="s">
        <v>272</v>
      </c>
      <c r="I10" s="10" t="s">
        <v>127</v>
      </c>
    </row>
    <row r="11" ht="94.5" customHeight="1" spans="1:9">
      <c r="A11" s="3" t="s">
        <v>273</v>
      </c>
      <c r="B11" s="4" t="s">
        <v>274</v>
      </c>
      <c r="C11" s="5" t="s">
        <v>21</v>
      </c>
      <c r="D11" s="4" t="s">
        <v>122</v>
      </c>
      <c r="E11" s="4" t="s">
        <v>275</v>
      </c>
      <c r="F11" s="4" t="s">
        <v>276</v>
      </c>
      <c r="G11" s="4" t="s">
        <v>277</v>
      </c>
      <c r="H11" s="4" t="s">
        <v>278</v>
      </c>
      <c r="I11" s="6" t="s">
        <v>127</v>
      </c>
    </row>
  </sheetData>
  <mergeCells count="1">
    <mergeCell ref="A1:I1"/>
  </mergeCells>
  <pageMargins left="0.75" right="0.75" top="1" bottom="1" header="0.511811023622047" footer="0.511811023622047"/>
  <pageSetup paperSize="9" orientation="portrait" horizontalDpi="300" verticalDpi="300"/>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pane ySplit="2" topLeftCell="A3" activePane="bottomLeft" state="frozen"/>
      <selection/>
      <selection pane="bottomLeft" activeCell="I11" sqref="I11:I12"/>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27.75" customWidth="1"/>
    <col min="9" max="9" width="9.1" customWidth="1"/>
  </cols>
  <sheetData>
    <row r="1" ht="21" spans="1:9">
      <c r="A1" s="1" t="s">
        <v>279</v>
      </c>
      <c r="B1" s="1"/>
      <c r="C1" s="1"/>
      <c r="D1" s="1"/>
      <c r="E1" s="1"/>
      <c r="F1" s="1"/>
      <c r="G1" s="1"/>
      <c r="H1" s="1"/>
      <c r="I1" s="1"/>
    </row>
    <row r="2" spans="1:9">
      <c r="A2" s="2" t="s">
        <v>111</v>
      </c>
      <c r="B2" s="2" t="s">
        <v>112</v>
      </c>
      <c r="C2" s="2" t="s">
        <v>113</v>
      </c>
      <c r="D2" s="2" t="s">
        <v>114</v>
      </c>
      <c r="E2" s="2" t="s">
        <v>115</v>
      </c>
      <c r="F2" s="2" t="s">
        <v>116</v>
      </c>
      <c r="G2" s="2" t="s">
        <v>117</v>
      </c>
      <c r="H2" s="2" t="s">
        <v>118</v>
      </c>
      <c r="I2" s="2" t="s">
        <v>119</v>
      </c>
    </row>
    <row r="3" ht="94.5" customHeight="1" spans="1:9">
      <c r="A3" s="3" t="s">
        <v>280</v>
      </c>
      <c r="B3" s="4" t="s">
        <v>281</v>
      </c>
      <c r="C3" s="15" t="s">
        <v>19</v>
      </c>
      <c r="D3" s="4" t="s">
        <v>122</v>
      </c>
      <c r="E3" s="4" t="s">
        <v>282</v>
      </c>
      <c r="F3" s="4" t="s">
        <v>283</v>
      </c>
      <c r="G3" s="4" t="s">
        <v>284</v>
      </c>
      <c r="H3" s="4" t="s">
        <v>285</v>
      </c>
      <c r="I3" s="6" t="s">
        <v>127</v>
      </c>
    </row>
    <row r="4" ht="94.5" customHeight="1" spans="1:9">
      <c r="A4" s="7" t="s">
        <v>286</v>
      </c>
      <c r="B4" s="8" t="s">
        <v>287</v>
      </c>
      <c r="C4" s="12" t="s">
        <v>20</v>
      </c>
      <c r="D4" s="8" t="s">
        <v>122</v>
      </c>
      <c r="E4" s="8" t="s">
        <v>288</v>
      </c>
      <c r="F4" s="8" t="s">
        <v>289</v>
      </c>
      <c r="G4" s="8" t="s">
        <v>290</v>
      </c>
      <c r="H4" s="8" t="s">
        <v>291</v>
      </c>
      <c r="I4" s="10" t="s">
        <v>127</v>
      </c>
    </row>
    <row r="5" ht="94.5" customHeight="1" spans="1:9">
      <c r="A5" s="3" t="s">
        <v>292</v>
      </c>
      <c r="B5" s="4" t="s">
        <v>293</v>
      </c>
      <c r="C5" s="14" t="s">
        <v>20</v>
      </c>
      <c r="D5" s="4" t="s">
        <v>122</v>
      </c>
      <c r="E5" s="4" t="s">
        <v>294</v>
      </c>
      <c r="F5" s="4" t="s">
        <v>295</v>
      </c>
      <c r="G5" s="4" t="s">
        <v>296</v>
      </c>
      <c r="H5" s="4" t="s">
        <v>297</v>
      </c>
      <c r="I5" s="6" t="s">
        <v>127</v>
      </c>
    </row>
    <row r="6" ht="94.5" customHeight="1" spans="1:9">
      <c r="A6" s="7" t="s">
        <v>298</v>
      </c>
      <c r="B6" s="8" t="s">
        <v>299</v>
      </c>
      <c r="C6" s="17" t="s">
        <v>19</v>
      </c>
      <c r="D6" s="8" t="s">
        <v>122</v>
      </c>
      <c r="E6" s="8" t="s">
        <v>300</v>
      </c>
      <c r="F6" s="8" t="s">
        <v>301</v>
      </c>
      <c r="G6" s="8" t="s">
        <v>302</v>
      </c>
      <c r="H6" s="8" t="s">
        <v>299</v>
      </c>
      <c r="I6" s="10" t="s">
        <v>127</v>
      </c>
    </row>
    <row r="7" ht="94.5" customHeight="1" spans="1:9">
      <c r="A7" s="3" t="s">
        <v>303</v>
      </c>
      <c r="B7" s="4" t="s">
        <v>304</v>
      </c>
      <c r="C7" s="14" t="s">
        <v>20</v>
      </c>
      <c r="D7" s="4" t="s">
        <v>122</v>
      </c>
      <c r="E7" s="4" t="s">
        <v>305</v>
      </c>
      <c r="F7" s="4" t="s">
        <v>306</v>
      </c>
      <c r="G7" s="4" t="s">
        <v>307</v>
      </c>
      <c r="H7" s="4" t="s">
        <v>308</v>
      </c>
      <c r="I7" s="6" t="s">
        <v>127</v>
      </c>
    </row>
    <row r="8" ht="94.5" customHeight="1" spans="1:9">
      <c r="A8" s="7" t="s">
        <v>309</v>
      </c>
      <c r="B8" s="8" t="s">
        <v>310</v>
      </c>
      <c r="C8" s="12" t="s">
        <v>20</v>
      </c>
      <c r="D8" s="8" t="s">
        <v>122</v>
      </c>
      <c r="E8" s="8" t="s">
        <v>311</v>
      </c>
      <c r="F8" s="8" t="s">
        <v>312</v>
      </c>
      <c r="G8" s="8" t="s">
        <v>313</v>
      </c>
      <c r="H8" s="8" t="s">
        <v>310</v>
      </c>
      <c r="I8" s="10" t="s">
        <v>127</v>
      </c>
    </row>
    <row r="9" ht="94.5" customHeight="1" spans="1:9">
      <c r="A9" s="3" t="s">
        <v>314</v>
      </c>
      <c r="B9" s="4" t="s">
        <v>315</v>
      </c>
      <c r="C9" s="14" t="s">
        <v>20</v>
      </c>
      <c r="D9" s="4" t="s">
        <v>122</v>
      </c>
      <c r="E9" s="4" t="s">
        <v>316</v>
      </c>
      <c r="F9" s="4" t="s">
        <v>317</v>
      </c>
      <c r="G9" s="4" t="s">
        <v>318</v>
      </c>
      <c r="H9" s="4" t="s">
        <v>319</v>
      </c>
      <c r="I9" s="6" t="s">
        <v>127</v>
      </c>
    </row>
    <row r="10" ht="94.5" customHeight="1" spans="1:9">
      <c r="A10" s="7" t="s">
        <v>320</v>
      </c>
      <c r="B10" s="8" t="s">
        <v>321</v>
      </c>
      <c r="C10" s="12" t="s">
        <v>20</v>
      </c>
      <c r="D10" s="8" t="s">
        <v>122</v>
      </c>
      <c r="E10" s="8" t="s">
        <v>322</v>
      </c>
      <c r="F10" s="8" t="s">
        <v>323</v>
      </c>
      <c r="G10" s="8" t="s">
        <v>324</v>
      </c>
      <c r="H10" s="8" t="s">
        <v>325</v>
      </c>
      <c r="I10" s="10" t="s">
        <v>127</v>
      </c>
    </row>
    <row r="11" ht="94.5" customHeight="1" spans="1:9">
      <c r="A11" s="3" t="s">
        <v>326</v>
      </c>
      <c r="B11" s="4" t="s">
        <v>327</v>
      </c>
      <c r="C11" s="14" t="s">
        <v>20</v>
      </c>
      <c r="D11" s="4" t="s">
        <v>122</v>
      </c>
      <c r="E11" s="4" t="s">
        <v>328</v>
      </c>
      <c r="F11" s="4" t="s">
        <v>329</v>
      </c>
      <c r="G11" s="4" t="s">
        <v>330</v>
      </c>
      <c r="H11" s="4" t="s">
        <v>331</v>
      </c>
      <c r="I11" s="6" t="s">
        <v>127</v>
      </c>
    </row>
    <row r="12" ht="94.5" customHeight="1" spans="1:9">
      <c r="A12" s="7" t="s">
        <v>332</v>
      </c>
      <c r="B12" s="8" t="s">
        <v>333</v>
      </c>
      <c r="C12" s="12" t="s">
        <v>20</v>
      </c>
      <c r="D12" s="8" t="s">
        <v>122</v>
      </c>
      <c r="E12" s="8" t="s">
        <v>334</v>
      </c>
      <c r="F12" s="8" t="s">
        <v>335</v>
      </c>
      <c r="G12" s="8" t="s">
        <v>336</v>
      </c>
      <c r="H12" s="8" t="s">
        <v>337</v>
      </c>
      <c r="I12" s="10" t="s">
        <v>127</v>
      </c>
    </row>
  </sheetData>
  <mergeCells count="1">
    <mergeCell ref="A1:I1"/>
  </mergeCells>
  <pageMargins left="0.75" right="0.75" top="1" bottom="1" header="0.511811023622047" footer="0.511811023622047"/>
  <pageSetup paperSize="9" orientation="portrait" horizontalDpi="300" verticalDpi="300"/>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2"/>
  <sheetViews>
    <sheetView workbookViewId="0">
      <pane ySplit="2" topLeftCell="A3" activePane="bottomLeft" state="frozen"/>
      <selection/>
      <selection pane="bottomLeft" activeCell="I11" sqref="I11:I12"/>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16.3833333333333" customWidth="1"/>
    <col min="9" max="9" width="9.1" customWidth="1"/>
  </cols>
  <sheetData>
    <row r="1" ht="21" spans="1:9">
      <c r="A1" s="1" t="s">
        <v>338</v>
      </c>
      <c r="B1" s="1"/>
      <c r="C1" s="1"/>
      <c r="D1" s="1"/>
      <c r="E1" s="1"/>
      <c r="F1" s="1"/>
      <c r="G1" s="1"/>
      <c r="H1" s="1"/>
      <c r="I1" s="1"/>
    </row>
    <row r="2" spans="1:9">
      <c r="A2" s="2" t="s">
        <v>111</v>
      </c>
      <c r="B2" s="2" t="s">
        <v>112</v>
      </c>
      <c r="C2" s="2" t="s">
        <v>113</v>
      </c>
      <c r="D2" s="2" t="s">
        <v>114</v>
      </c>
      <c r="E2" s="2" t="s">
        <v>115</v>
      </c>
      <c r="F2" s="2" t="s">
        <v>116</v>
      </c>
      <c r="G2" s="2" t="s">
        <v>117</v>
      </c>
      <c r="H2" s="2" t="s">
        <v>118</v>
      </c>
      <c r="I2" s="2" t="s">
        <v>119</v>
      </c>
    </row>
    <row r="3" ht="94.5" customHeight="1" spans="1:9">
      <c r="A3" s="3" t="s">
        <v>339</v>
      </c>
      <c r="B3" s="4" t="s">
        <v>340</v>
      </c>
      <c r="C3" s="14" t="s">
        <v>20</v>
      </c>
      <c r="D3" s="4" t="s">
        <v>122</v>
      </c>
      <c r="E3" s="4" t="s">
        <v>341</v>
      </c>
      <c r="F3" s="4" t="s">
        <v>342</v>
      </c>
      <c r="G3" s="4" t="s">
        <v>343</v>
      </c>
      <c r="H3" s="4" t="s">
        <v>344</v>
      </c>
      <c r="I3" s="6" t="s">
        <v>127</v>
      </c>
    </row>
    <row r="4" ht="94.5" customHeight="1" spans="1:9">
      <c r="A4" s="7" t="s">
        <v>345</v>
      </c>
      <c r="B4" s="8" t="s">
        <v>346</v>
      </c>
      <c r="C4" s="12" t="s">
        <v>20</v>
      </c>
      <c r="D4" s="8" t="s">
        <v>122</v>
      </c>
      <c r="E4" s="8" t="s">
        <v>341</v>
      </c>
      <c r="F4" s="8" t="s">
        <v>347</v>
      </c>
      <c r="G4" s="8" t="s">
        <v>348</v>
      </c>
      <c r="H4" s="8" t="s">
        <v>346</v>
      </c>
      <c r="I4" s="10" t="s">
        <v>127</v>
      </c>
    </row>
    <row r="5" ht="94.5" customHeight="1" spans="1:9">
      <c r="A5" s="3" t="s">
        <v>349</v>
      </c>
      <c r="B5" s="4" t="s">
        <v>350</v>
      </c>
      <c r="C5" s="14" t="s">
        <v>20</v>
      </c>
      <c r="D5" s="4" t="s">
        <v>122</v>
      </c>
      <c r="E5" s="4" t="s">
        <v>351</v>
      </c>
      <c r="F5" s="4" t="s">
        <v>352</v>
      </c>
      <c r="G5" s="4" t="s">
        <v>353</v>
      </c>
      <c r="H5" s="4" t="s">
        <v>354</v>
      </c>
      <c r="I5" s="6" t="s">
        <v>127</v>
      </c>
    </row>
    <row r="6" ht="94.5" customHeight="1" spans="1:9">
      <c r="A6" s="7" t="s">
        <v>355</v>
      </c>
      <c r="B6" s="8" t="s">
        <v>356</v>
      </c>
      <c r="C6" s="12" t="s">
        <v>20</v>
      </c>
      <c r="D6" s="8" t="s">
        <v>122</v>
      </c>
      <c r="E6" s="8" t="s">
        <v>357</v>
      </c>
      <c r="F6" s="8" t="s">
        <v>358</v>
      </c>
      <c r="G6" s="8" t="s">
        <v>359</v>
      </c>
      <c r="H6" s="8" t="s">
        <v>360</v>
      </c>
      <c r="I6" s="10" t="s">
        <v>127</v>
      </c>
    </row>
    <row r="7" ht="94.5" customHeight="1" spans="1:9">
      <c r="A7" s="3" t="s">
        <v>361</v>
      </c>
      <c r="B7" s="4" t="s">
        <v>362</v>
      </c>
      <c r="C7" s="14" t="s">
        <v>20</v>
      </c>
      <c r="D7" s="4" t="s">
        <v>122</v>
      </c>
      <c r="E7" s="4" t="s">
        <v>363</v>
      </c>
      <c r="F7" s="4" t="s">
        <v>364</v>
      </c>
      <c r="G7" s="4" t="s">
        <v>365</v>
      </c>
      <c r="H7" s="4" t="s">
        <v>366</v>
      </c>
      <c r="I7" s="6" t="s">
        <v>127</v>
      </c>
    </row>
    <row r="8" ht="94.5" customHeight="1" spans="1:9">
      <c r="A8" s="7" t="s">
        <v>367</v>
      </c>
      <c r="B8" s="8" t="s">
        <v>368</v>
      </c>
      <c r="C8" s="12" t="s">
        <v>20</v>
      </c>
      <c r="D8" s="8" t="s">
        <v>122</v>
      </c>
      <c r="E8" s="8" t="s">
        <v>369</v>
      </c>
      <c r="F8" s="8" t="s">
        <v>370</v>
      </c>
      <c r="G8" s="8" t="s">
        <v>371</v>
      </c>
      <c r="H8" s="8" t="s">
        <v>371</v>
      </c>
      <c r="I8" s="10" t="s">
        <v>127</v>
      </c>
    </row>
    <row r="9" ht="94.5" customHeight="1" spans="1:9">
      <c r="A9" s="3" t="s">
        <v>372</v>
      </c>
      <c r="B9" s="4" t="s">
        <v>373</v>
      </c>
      <c r="C9" s="14" t="s">
        <v>20</v>
      </c>
      <c r="D9" s="4" t="s">
        <v>122</v>
      </c>
      <c r="E9" s="4" t="s">
        <v>374</v>
      </c>
      <c r="F9" s="4" t="s">
        <v>375</v>
      </c>
      <c r="G9" s="4" t="s">
        <v>376</v>
      </c>
      <c r="H9" s="4" t="s">
        <v>377</v>
      </c>
      <c r="I9" s="16" t="s">
        <v>378</v>
      </c>
    </row>
    <row r="10" ht="94.5" customHeight="1" spans="1:9">
      <c r="A10" s="7" t="s">
        <v>379</v>
      </c>
      <c r="B10" s="8" t="s">
        <v>380</v>
      </c>
      <c r="C10" s="9" t="s">
        <v>21</v>
      </c>
      <c r="D10" s="8" t="s">
        <v>122</v>
      </c>
      <c r="E10" s="8" t="s">
        <v>381</v>
      </c>
      <c r="F10" s="8" t="s">
        <v>382</v>
      </c>
      <c r="G10" s="8" t="s">
        <v>383</v>
      </c>
      <c r="H10" s="8" t="s">
        <v>384</v>
      </c>
      <c r="I10" s="10" t="s">
        <v>127</v>
      </c>
    </row>
    <row r="11" ht="94.5" customHeight="1" spans="1:9">
      <c r="A11" s="3" t="s">
        <v>385</v>
      </c>
      <c r="B11" s="4" t="s">
        <v>386</v>
      </c>
      <c r="C11" s="5" t="s">
        <v>21</v>
      </c>
      <c r="D11" s="4" t="s">
        <v>122</v>
      </c>
      <c r="E11" s="4" t="s">
        <v>387</v>
      </c>
      <c r="F11" s="4" t="s">
        <v>388</v>
      </c>
      <c r="G11" s="4" t="s">
        <v>389</v>
      </c>
      <c r="H11" s="4" t="s">
        <v>389</v>
      </c>
      <c r="I11" s="6" t="s">
        <v>127</v>
      </c>
    </row>
    <row r="12" ht="94.5" customHeight="1" spans="1:9">
      <c r="A12" s="7" t="s">
        <v>390</v>
      </c>
      <c r="B12" s="8" t="s">
        <v>391</v>
      </c>
      <c r="C12" s="12" t="s">
        <v>20</v>
      </c>
      <c r="D12" s="8" t="s">
        <v>122</v>
      </c>
      <c r="E12" s="8" t="s">
        <v>392</v>
      </c>
      <c r="F12" s="8" t="s">
        <v>393</v>
      </c>
      <c r="G12" s="8" t="s">
        <v>394</v>
      </c>
      <c r="H12" s="8" t="s">
        <v>395</v>
      </c>
      <c r="I12" s="10" t="s">
        <v>127</v>
      </c>
    </row>
  </sheetData>
  <mergeCells count="1">
    <mergeCell ref="A1:I1"/>
  </mergeCells>
  <pageMargins left="0.75" right="0.75" top="1" bottom="1" header="0.511811023622047" footer="0.511811023622047"/>
  <pageSetup paperSize="9" orientation="portrait" horizontalDpi="300" verticalDpi="300"/>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pane ySplit="2" topLeftCell="A8" activePane="bottomLeft" state="frozen"/>
      <selection/>
      <selection pane="bottomLeft" activeCell="I9" sqref="I9:I10"/>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26" customWidth="1"/>
    <col min="9" max="9" width="9.1" customWidth="1"/>
  </cols>
  <sheetData>
    <row r="1" ht="21" spans="1:9">
      <c r="A1" s="1" t="s">
        <v>396</v>
      </c>
      <c r="B1" s="1"/>
      <c r="C1" s="1"/>
      <c r="D1" s="1"/>
      <c r="E1" s="1"/>
      <c r="F1" s="1"/>
      <c r="G1" s="1"/>
      <c r="H1" s="1"/>
      <c r="I1" s="1"/>
    </row>
    <row r="2" spans="1:9">
      <c r="A2" s="2" t="s">
        <v>111</v>
      </c>
      <c r="B2" s="2" t="s">
        <v>112</v>
      </c>
      <c r="C2" s="2" t="s">
        <v>113</v>
      </c>
      <c r="D2" s="2" t="s">
        <v>114</v>
      </c>
      <c r="E2" s="2" t="s">
        <v>115</v>
      </c>
      <c r="F2" s="2" t="s">
        <v>116</v>
      </c>
      <c r="G2" s="2" t="s">
        <v>117</v>
      </c>
      <c r="H2" s="2" t="s">
        <v>118</v>
      </c>
      <c r="I2" s="2" t="s">
        <v>119</v>
      </c>
    </row>
    <row r="3" ht="94.5" customHeight="1" spans="1:9">
      <c r="A3" s="3" t="s">
        <v>397</v>
      </c>
      <c r="B3" s="4" t="s">
        <v>398</v>
      </c>
      <c r="C3" s="14" t="s">
        <v>20</v>
      </c>
      <c r="D3" s="4" t="s">
        <v>122</v>
      </c>
      <c r="E3" s="4" t="s">
        <v>399</v>
      </c>
      <c r="F3" s="4" t="s">
        <v>400</v>
      </c>
      <c r="G3" s="4" t="s">
        <v>401</v>
      </c>
      <c r="H3" s="4" t="s">
        <v>402</v>
      </c>
      <c r="I3" s="6" t="s">
        <v>127</v>
      </c>
    </row>
    <row r="4" ht="94.5" customHeight="1" spans="1:9">
      <c r="A4" s="7" t="s">
        <v>403</v>
      </c>
      <c r="B4" s="8" t="s">
        <v>404</v>
      </c>
      <c r="C4" s="12" t="s">
        <v>20</v>
      </c>
      <c r="D4" s="8" t="s">
        <v>122</v>
      </c>
      <c r="E4" s="8" t="s">
        <v>405</v>
      </c>
      <c r="F4" s="8" t="s">
        <v>406</v>
      </c>
      <c r="G4" s="8" t="s">
        <v>407</v>
      </c>
      <c r="H4" s="8" t="s">
        <v>408</v>
      </c>
      <c r="I4" s="10" t="s">
        <v>127</v>
      </c>
    </row>
    <row r="5" ht="94.5" customHeight="1" spans="1:9">
      <c r="A5" s="3" t="s">
        <v>409</v>
      </c>
      <c r="B5" s="4" t="s">
        <v>410</v>
      </c>
      <c r="C5" s="14" t="s">
        <v>20</v>
      </c>
      <c r="D5" s="4" t="s">
        <v>122</v>
      </c>
      <c r="E5" s="4" t="s">
        <v>411</v>
      </c>
      <c r="F5" s="4" t="s">
        <v>412</v>
      </c>
      <c r="G5" s="4" t="s">
        <v>413</v>
      </c>
      <c r="H5" s="4" t="s">
        <v>414</v>
      </c>
      <c r="I5" s="6" t="s">
        <v>127</v>
      </c>
    </row>
    <row r="6" ht="94.5" customHeight="1" spans="1:9">
      <c r="A6" s="7" t="s">
        <v>415</v>
      </c>
      <c r="B6" s="8" t="s">
        <v>416</v>
      </c>
      <c r="C6" s="12" t="s">
        <v>20</v>
      </c>
      <c r="D6" s="8" t="s">
        <v>122</v>
      </c>
      <c r="E6" s="8" t="s">
        <v>417</v>
      </c>
      <c r="F6" s="8" t="s">
        <v>418</v>
      </c>
      <c r="G6" s="8" t="s">
        <v>419</v>
      </c>
      <c r="H6" s="8" t="s">
        <v>420</v>
      </c>
      <c r="I6" s="10" t="s">
        <v>127</v>
      </c>
    </row>
    <row r="7" ht="94.5" customHeight="1" spans="1:9">
      <c r="A7" s="3" t="s">
        <v>421</v>
      </c>
      <c r="B7" s="4" t="s">
        <v>422</v>
      </c>
      <c r="C7" s="15" t="s">
        <v>19</v>
      </c>
      <c r="D7" s="4" t="s">
        <v>122</v>
      </c>
      <c r="E7" s="4" t="s">
        <v>423</v>
      </c>
      <c r="F7" s="4" t="s">
        <v>424</v>
      </c>
      <c r="G7" s="4" t="s">
        <v>425</v>
      </c>
      <c r="H7" s="4" t="s">
        <v>426</v>
      </c>
      <c r="I7" s="6" t="s">
        <v>127</v>
      </c>
    </row>
    <row r="8" ht="94.5" customHeight="1" spans="1:9">
      <c r="A8" s="7" t="s">
        <v>427</v>
      </c>
      <c r="B8" s="8" t="s">
        <v>428</v>
      </c>
      <c r="C8" s="9" t="s">
        <v>21</v>
      </c>
      <c r="D8" s="8" t="s">
        <v>122</v>
      </c>
      <c r="E8" s="8" t="s">
        <v>429</v>
      </c>
      <c r="F8" s="8" t="s">
        <v>430</v>
      </c>
      <c r="G8" s="8" t="s">
        <v>431</v>
      </c>
      <c r="H8" s="8" t="s">
        <v>432</v>
      </c>
      <c r="I8" s="10" t="s">
        <v>127</v>
      </c>
    </row>
    <row r="9" ht="94.5" customHeight="1" spans="1:9">
      <c r="A9" s="3" t="s">
        <v>433</v>
      </c>
      <c r="B9" s="4" t="s">
        <v>434</v>
      </c>
      <c r="C9" s="5" t="s">
        <v>21</v>
      </c>
      <c r="D9" s="4" t="s">
        <v>122</v>
      </c>
      <c r="E9" s="4" t="s">
        <v>435</v>
      </c>
      <c r="F9" s="4" t="s">
        <v>436</v>
      </c>
      <c r="G9" s="4" t="s">
        <v>437</v>
      </c>
      <c r="H9" s="4" t="s">
        <v>438</v>
      </c>
      <c r="I9" s="6" t="s">
        <v>127</v>
      </c>
    </row>
    <row r="10" ht="94.5" customHeight="1" spans="1:9">
      <c r="A10" s="7" t="s">
        <v>439</v>
      </c>
      <c r="B10" s="8" t="s">
        <v>440</v>
      </c>
      <c r="C10" s="12" t="s">
        <v>20</v>
      </c>
      <c r="D10" s="8" t="s">
        <v>122</v>
      </c>
      <c r="E10" s="8" t="s">
        <v>441</v>
      </c>
      <c r="F10" s="8" t="s">
        <v>442</v>
      </c>
      <c r="G10" s="8" t="s">
        <v>443</v>
      </c>
      <c r="H10" s="8" t="s">
        <v>444</v>
      </c>
      <c r="I10" s="10" t="s">
        <v>127</v>
      </c>
    </row>
    <row r="11" ht="94.5" customHeight="1" spans="1:9">
      <c r="A11" s="3" t="s">
        <v>445</v>
      </c>
      <c r="B11" s="4" t="s">
        <v>446</v>
      </c>
      <c r="C11" s="14" t="s">
        <v>20</v>
      </c>
      <c r="D11" s="4" t="s">
        <v>122</v>
      </c>
      <c r="E11" s="4" t="s">
        <v>447</v>
      </c>
      <c r="F11" s="4" t="s">
        <v>448</v>
      </c>
      <c r="G11" s="4" t="s">
        <v>449</v>
      </c>
      <c r="H11" s="4" t="s">
        <v>450</v>
      </c>
      <c r="I11" s="6" t="s">
        <v>127</v>
      </c>
    </row>
  </sheetData>
  <mergeCells count="1">
    <mergeCell ref="A1:I1"/>
  </mergeCells>
  <pageMargins left="0.75" right="0.75" top="1" bottom="1" header="0.511811023622047" footer="0.511811023622047"/>
  <pageSetup paperSize="9" orientation="portrait" horizontalDpi="300" verticalDpi="300"/>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workbookViewId="0">
      <pane ySplit="2" topLeftCell="A9" activePane="bottomLeft" state="frozen"/>
      <selection/>
      <selection pane="bottomLeft" activeCell="I9" sqref="I9:I10"/>
    </sheetView>
  </sheetViews>
  <sheetFormatPr defaultColWidth="7.89166666666667" defaultRowHeight="18"/>
  <cols>
    <col min="1" max="1" width="14.5583333333333" customWidth="1"/>
    <col min="2" max="2" width="25.4666666666667" customWidth="1"/>
    <col min="3" max="3" width="7.28333333333333" customWidth="1"/>
    <col min="4" max="4" width="9.1" customWidth="1"/>
    <col min="5" max="5" width="27.3" customWidth="1"/>
    <col min="6" max="6" width="40.0333333333333" customWidth="1"/>
    <col min="7" max="7" width="41.85" customWidth="1"/>
    <col min="8" max="8" width="16.3833333333333" customWidth="1"/>
    <col min="9" max="9" width="9.1" customWidth="1"/>
  </cols>
  <sheetData>
    <row r="1" ht="21" spans="1:9">
      <c r="A1" s="1" t="s">
        <v>451</v>
      </c>
      <c r="B1" s="1"/>
      <c r="C1" s="1"/>
      <c r="D1" s="1"/>
      <c r="E1" s="1"/>
      <c r="F1" s="1"/>
      <c r="G1" s="1"/>
      <c r="H1" s="1"/>
      <c r="I1" s="1"/>
    </row>
    <row r="2" spans="1:9">
      <c r="A2" s="2" t="s">
        <v>111</v>
      </c>
      <c r="B2" s="2" t="s">
        <v>112</v>
      </c>
      <c r="C2" s="2" t="s">
        <v>113</v>
      </c>
      <c r="D2" s="2" t="s">
        <v>114</v>
      </c>
      <c r="E2" s="2" t="s">
        <v>115</v>
      </c>
      <c r="F2" s="2" t="s">
        <v>116</v>
      </c>
      <c r="G2" s="2" t="s">
        <v>117</v>
      </c>
      <c r="H2" s="2" t="s">
        <v>118</v>
      </c>
      <c r="I2" s="2" t="s">
        <v>119</v>
      </c>
    </row>
    <row r="3" ht="94.5" customHeight="1" spans="1:9">
      <c r="A3" s="3" t="s">
        <v>452</v>
      </c>
      <c r="B3" s="4" t="s">
        <v>453</v>
      </c>
      <c r="C3" s="5" t="s">
        <v>21</v>
      </c>
      <c r="D3" s="4" t="s">
        <v>122</v>
      </c>
      <c r="E3" s="4" t="s">
        <v>454</v>
      </c>
      <c r="F3" s="4" t="s">
        <v>455</v>
      </c>
      <c r="G3" s="4" t="s">
        <v>456</v>
      </c>
      <c r="H3" s="4" t="s">
        <v>457</v>
      </c>
      <c r="I3" s="6" t="s">
        <v>127</v>
      </c>
    </row>
    <row r="4" ht="94.5" customHeight="1" spans="1:9">
      <c r="A4" s="7" t="s">
        <v>458</v>
      </c>
      <c r="B4" s="8" t="s">
        <v>459</v>
      </c>
      <c r="C4" s="9" t="s">
        <v>21</v>
      </c>
      <c r="D4" s="8" t="s">
        <v>122</v>
      </c>
      <c r="E4" s="8" t="s">
        <v>460</v>
      </c>
      <c r="F4" s="8" t="s">
        <v>461</v>
      </c>
      <c r="G4" s="8" t="s">
        <v>462</v>
      </c>
      <c r="H4" s="8" t="s">
        <v>463</v>
      </c>
      <c r="I4" s="10" t="s">
        <v>127</v>
      </c>
    </row>
    <row r="5" ht="94.5" customHeight="1" spans="1:9">
      <c r="A5" s="3" t="s">
        <v>464</v>
      </c>
      <c r="B5" s="4" t="s">
        <v>465</v>
      </c>
      <c r="C5" s="11" t="s">
        <v>22</v>
      </c>
      <c r="D5" s="4" t="s">
        <v>122</v>
      </c>
      <c r="E5" s="4" t="s">
        <v>466</v>
      </c>
      <c r="F5" s="4" t="s">
        <v>467</v>
      </c>
      <c r="G5" s="4" t="s">
        <v>468</v>
      </c>
      <c r="H5" s="4" t="s">
        <v>457</v>
      </c>
      <c r="I5" s="6" t="s">
        <v>127</v>
      </c>
    </row>
    <row r="6" ht="94.5" customHeight="1" spans="1:9">
      <c r="A6" s="7" t="s">
        <v>469</v>
      </c>
      <c r="B6" s="8" t="s">
        <v>470</v>
      </c>
      <c r="C6" s="12" t="s">
        <v>20</v>
      </c>
      <c r="D6" s="8" t="s">
        <v>122</v>
      </c>
      <c r="E6" s="8" t="s">
        <v>471</v>
      </c>
      <c r="F6" s="8" t="s">
        <v>472</v>
      </c>
      <c r="G6" s="8" t="s">
        <v>473</v>
      </c>
      <c r="H6" s="8" t="s">
        <v>474</v>
      </c>
      <c r="I6" s="10" t="s">
        <v>127</v>
      </c>
    </row>
    <row r="7" ht="94.5" customHeight="1" spans="1:9">
      <c r="A7" s="3" t="s">
        <v>475</v>
      </c>
      <c r="B7" s="4" t="s">
        <v>476</v>
      </c>
      <c r="C7" s="11" t="s">
        <v>22</v>
      </c>
      <c r="D7" s="4" t="s">
        <v>122</v>
      </c>
      <c r="E7" s="4" t="s">
        <v>477</v>
      </c>
      <c r="F7" s="4" t="s">
        <v>478</v>
      </c>
      <c r="G7" s="4" t="s">
        <v>479</v>
      </c>
      <c r="H7" s="4" t="s">
        <v>480</v>
      </c>
      <c r="I7" s="6" t="s">
        <v>127</v>
      </c>
    </row>
    <row r="8" ht="94.5" customHeight="1" spans="1:9">
      <c r="A8" s="7" t="s">
        <v>481</v>
      </c>
      <c r="B8" s="8" t="s">
        <v>482</v>
      </c>
      <c r="C8" s="12" t="s">
        <v>20</v>
      </c>
      <c r="D8" s="8" t="s">
        <v>122</v>
      </c>
      <c r="E8" s="8" t="s">
        <v>483</v>
      </c>
      <c r="F8" s="8" t="s">
        <v>484</v>
      </c>
      <c r="G8" s="8" t="s">
        <v>485</v>
      </c>
      <c r="H8" s="8" t="s">
        <v>486</v>
      </c>
      <c r="I8" s="10" t="s">
        <v>127</v>
      </c>
    </row>
    <row r="9" ht="94.5" customHeight="1" spans="1:9">
      <c r="A9" s="3" t="s">
        <v>487</v>
      </c>
      <c r="B9" s="4" t="s">
        <v>488</v>
      </c>
      <c r="C9" s="11" t="s">
        <v>22</v>
      </c>
      <c r="D9" s="4" t="s">
        <v>122</v>
      </c>
      <c r="E9" s="4" t="s">
        <v>489</v>
      </c>
      <c r="F9" s="4" t="s">
        <v>490</v>
      </c>
      <c r="G9" s="4" t="s">
        <v>491</v>
      </c>
      <c r="H9" s="8" t="s">
        <v>492</v>
      </c>
      <c r="I9" s="6" t="s">
        <v>127</v>
      </c>
    </row>
    <row r="10" ht="94.5" customHeight="1" spans="1:9">
      <c r="A10" s="7" t="s">
        <v>493</v>
      </c>
      <c r="B10" s="8" t="s">
        <v>494</v>
      </c>
      <c r="C10" s="13" t="s">
        <v>23</v>
      </c>
      <c r="D10" s="8" t="s">
        <v>122</v>
      </c>
      <c r="E10" s="8" t="s">
        <v>495</v>
      </c>
      <c r="F10" s="8" t="s">
        <v>496</v>
      </c>
      <c r="G10" s="8" t="s">
        <v>497</v>
      </c>
      <c r="H10" s="8" t="s">
        <v>498</v>
      </c>
      <c r="I10" s="10" t="s">
        <v>127</v>
      </c>
    </row>
    <row r="11" ht="94.5" customHeight="1" spans="1:9">
      <c r="A11" s="3" t="s">
        <v>499</v>
      </c>
      <c r="B11" s="4" t="s">
        <v>500</v>
      </c>
      <c r="C11" s="14" t="s">
        <v>20</v>
      </c>
      <c r="D11" s="4" t="s">
        <v>122</v>
      </c>
      <c r="E11" s="4" t="s">
        <v>501</v>
      </c>
      <c r="F11" s="4" t="s">
        <v>502</v>
      </c>
      <c r="G11" s="4" t="s">
        <v>503</v>
      </c>
      <c r="H11" s="8" t="s">
        <v>504</v>
      </c>
      <c r="I11" s="6" t="s">
        <v>127</v>
      </c>
    </row>
  </sheetData>
  <mergeCells count="1">
    <mergeCell ref="A1:I1"/>
  </mergeCells>
  <pageMargins left="0.75" right="0.75" top="1" bottom="1" header="0.511811023622047" footer="0.511811023622047"/>
  <pageSetup paperSize="9" orientation="portrait" horizontalDpi="300" verticalDpi="300"/>
  <headerFooter/>
  <drawing r:id="rId1"/>
</worksheet>
</file>

<file path=docProps/app.xml><?xml version="1.0" encoding="utf-8"?>
<Properties xmlns="http://schemas.openxmlformats.org/officeDocument/2006/extended-properties" xmlns:vt="http://schemas.openxmlformats.org/officeDocument/2006/docPropsVTypes">
  <Application>LibreOffice/26.2.2.2$Windows_X86_64 LibreOffice_project/1f77d10d6938fd34972958f64b2bcfa54f8b1ba5</Application>
  <HeadingPairs>
    <vt:vector size="2" baseType="variant">
      <vt:variant>
        <vt:lpstr>工作表</vt:lpstr>
      </vt:variant>
      <vt:variant>
        <vt:i4>9</vt:i4>
      </vt:variant>
    </vt:vector>
  </HeadingPairs>
  <TitlesOfParts>
    <vt:vector size="9" baseType="lpstr">
      <vt:lpstr>用例统计</vt:lpstr>
      <vt:lpstr>缺失分析与优化记录</vt:lpstr>
      <vt:lpstr>列表展示与字段校验</vt:lpstr>
      <vt:lpstr>等级新增编辑配置</vt:lpstr>
      <vt:lpstr>经验阈值与升降级</vt:lpstr>
      <vt:lpstr>权益折扣与奖励生命周期</vt:lpstr>
      <vt:lpstr>状态停用删除与序号规则</vt:lpstr>
      <vt:lpstr>权限审计与安全可见性</vt:lpstr>
      <vt:lpstr>兼容性性能与回归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初尘</cp:lastModifiedBy>
  <cp:revision>0</cp:revision>
  <dcterms:created xsi:type="dcterms:W3CDTF">2026-07-20T03:41:00Z</dcterms:created>
  <dcterms:modified xsi:type="dcterms:W3CDTF">2026-07-27T08:03:58Z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0072025844BA4524B751A4E61DF11D46_12</vt:lpwstr>
  </property>
  <property fmtid="{D5CDD505-2E9C-101B-9397-08002B2CF9AE}" pid="3" name="KSOProductBuildVer">
    <vt:lpwstr>2052-12.1.0.26895</vt:lpwstr>
  </property>
  <property fmtid="{D5CDD505-2E9C-101B-9397-08002B2CF9AE}" pid="4" name="CalculationRule">
    <vt:i4>0</vt:i4>
  </property>
</Properties>
</file>