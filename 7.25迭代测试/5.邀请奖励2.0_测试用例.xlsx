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tabRatio="500" firstSheet="4" activeTab="9"/>
  </bookViews>
  <sheets>
    <sheet name="用例统计" sheetId="1" r:id="rId1"/>
    <sheet name="缺失分析与优化记录" sheetId="2" state="hidden" r:id="rId2"/>
    <sheet name="开关机制与防回溯" sheetId="3" r:id="rId3"/>
    <sheet name="奖励配置与券选择" sheetId="4" r:id="rId4"/>
    <sheet name="次数限制与触发条件" sheetId="5" r:id="rId5"/>
    <sheet name="券发放与回退链路" sheetId="6" r:id="rId6"/>
    <sheet name="并发一致性与异常容错" sheetId="7" r:id="rId7"/>
    <sheet name="C端展示与可见性" sheetId="8" r:id="rId8"/>
    <sheet name="权限审计与安全" sheetId="9" r:id="rId9"/>
    <sheet name="兼容性与回归"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<sst xmlns="http://schemas.openxmlformats.org/spreadsheetml/2006/main" count="742" uniqueCount="465">
  <si>
    <t>邀请奖励2.0 - 测试用例统计 (V2.0)</t>
  </si>
  <si>
    <t>优先级定义标准:</t>
  </si>
  <si>
    <t>P1(阻断级)</t>
  </si>
  <si>
    <t>核心主流程不可用/资金安全风险/数据丢失。发版前必须100%通过</t>
  </si>
  <si>
    <t>P2(核心功能)</t>
  </si>
  <si>
    <t>主要功能正确性问题，有临时绕过方案。发版前必须通过</t>
  </si>
  <si>
    <t>P3(重要功能)</t>
  </si>
  <si>
    <t>非核心功能异常或边界处理不当。发版前应通过</t>
  </si>
  <si>
    <t>P4(一般功能)</t>
  </si>
  <si>
    <t>UI展示问题/文案错误/非关键交互异常。发版后修复</t>
  </si>
  <si>
    <t>P5(优化建议)</t>
  </si>
  <si>
    <t>性能优化/样式微调/兼容性/无障碍。迭代优化</t>
  </si>
  <si>
    <t>模块</t>
  </si>
  <si>
    <t>用例数</t>
  </si>
  <si>
    <t>P1</t>
  </si>
  <si>
    <t>P2</t>
  </si>
  <si>
    <t>P3</t>
  </si>
  <si>
    <t>P4</t>
  </si>
  <si>
    <t>P5</t>
  </si>
  <si>
    <t>开关机制与防回溯</t>
  </si>
  <si>
    <t>奖励配置与券选择</t>
  </si>
  <si>
    <t>次数限制与触发条件</t>
  </si>
  <si>
    <t>券发放与回退链路</t>
  </si>
  <si>
    <t>并发一致性与异常容错</t>
  </si>
  <si>
    <t>C端展示与可见性</t>
  </si>
  <si>
    <t>权限审计与安全</t>
  </si>
  <si>
    <t>兼容性与回归</t>
  </si>
  <si>
    <t>合计</t>
  </si>
  <si>
    <t>邀请奖励2.0 - 缺失分析与优化记录</t>
  </si>
  <si>
    <t>编号</t>
  </si>
  <si>
    <t>缺失/优化项</t>
  </si>
  <si>
    <t>原因分析</t>
  </si>
  <si>
    <t>处理措施</t>
  </si>
  <si>
    <t>严重度</t>
  </si>
  <si>
    <t>状态</t>
  </si>
  <si>
    <t>G001</t>
  </si>
  <si>
    <t>多券组合发放策略</t>
  </si>
  <si>
    <t>已确认:交易和租赁一次只能用一张优惠券(目前版本)，配置多张券时用户选择使用</t>
  </si>
  <si>
    <t>在INV-ISS-002中验证多券配置下单次仅用一张</t>
  </si>
  <si>
    <t>已确认</t>
  </si>
  <si>
    <t>G002</t>
  </si>
  <si>
    <t>被邀请人奖励当前版本未实现</t>
  </si>
  <si>
    <t>需求注明被邀请人奖励后续迭代补充，当前版本仅关注邀请人</t>
  </si>
  <si>
    <t>当前用例仅覆盖邀请人奖励，被邀请人奖励在后续迭代补充时新增用例</t>
  </si>
  <si>
    <t>待迭代</t>
  </si>
  <si>
    <t>G003</t>
  </si>
  <si>
    <t>券发放后不回收</t>
  </si>
  <si>
    <t>已确认:已经发放的优惠券不进行收回，无论邀请关系是否撤销</t>
  </si>
  <si>
    <t>在INV-ISS-004中验证撤销关系后已发放券不回收</t>
  </si>
  <si>
    <t>G004</t>
  </si>
  <si>
    <t>券到期后未领取不显示已过期无法使用</t>
  </si>
  <si>
    <t>已确认:配置的券到期还未领取就不在客户端显示，已过期就无法使用</t>
  </si>
  <si>
    <t>在INV-ISS-005中验证到期后客户端不显示且无法使用</t>
  </si>
  <si>
    <t>G005</t>
  </si>
  <si>
    <t>次数限制修改后超限用户不回退</t>
  </si>
  <si>
    <t>已确认:次数限制修改后超过的部分用户不对优惠券进行回退，用户依然可以使用</t>
  </si>
  <si>
    <t>在INV-LMT-007中验证修改上限后超限用户券不回退</t>
  </si>
  <si>
    <t>G006</t>
  </si>
  <si>
    <t>一个用户只能有一个上级</t>
  </si>
  <si>
    <t>已确认:一个人只能输一个人的邀请码，无法同时被两个人邀请，成为一个人的下级不能再成为另一个人的下级</t>
  </si>
  <si>
    <t>在INV-CONC-006中验证唯一上级绑定</t>
  </si>
  <si>
    <t>G007</t>
  </si>
  <si>
    <t>邀请码永久有效</t>
  </si>
  <si>
    <t>已确认:邀请码永久有效，无过期时间</t>
  </si>
  <si>
    <t>在INV-LMT-006中验证邀请码长期有效性</t>
  </si>
  <si>
    <t>G008</t>
  </si>
  <si>
    <t>开关切换1秒防抖</t>
  </si>
  <si>
    <t>已确认:开关切换在一秒内无法重复点击，增加防抖机制</t>
  </si>
  <si>
    <t>在INV-COMP-004中验证1秒防抖</t>
  </si>
  <si>
    <t>G009</t>
  </si>
  <si>
    <t>注销后重新注册的邀请关系处理</t>
  </si>
  <si>
    <t>已确认:邀请奖励绑定手机号，一个手机号算一个用户；注销后再注册自动绑定到原先上级或识别为老用户无法触发邀请奖励；注销后再注册与原先上下级关系消失，需重新绑定</t>
  </si>
  <si>
    <t>在INV-ISS-007中覆盖注销重注册场景</t>
  </si>
  <si>
    <t>G010</t>
  </si>
  <si>
    <t>后台修改次数未确认默认原值</t>
  </si>
  <si>
    <t>已确认:后台对邀请人数进行更改时，未确认之前默认为更改前的人数限制</t>
  </si>
  <si>
    <t>在INV-LMT-007中验证未确认前保持原值</t>
  </si>
  <si>
    <t>G011</t>
  </si>
  <si>
    <t>弹窗优先级与发放逻辑</t>
  </si>
  <si>
    <t>PRD 7.1/7.3/7.4规定了弹窗优先级(新人&gt;邀请&gt;通用)和发放逻辑(可手动领取vs不可手动领取)，原用例未覆盖</t>
  </si>
  <si>
    <t>新增INV-ISS-008~011覆盖弹窗优先级、发放逻辑、重复弹窗规则</t>
  </si>
  <si>
    <t>已补充</t>
  </si>
  <si>
    <t>G012</t>
  </si>
  <si>
    <t>券被删除后已选列表自动移除</t>
  </si>
  <si>
    <t>PRD 8.8规定后台删除券后邀请奖励已选列表自动移除，原用例未覆盖</t>
  </si>
  <si>
    <t>新增INV-CFG-008覆盖券删除后自动移除场景</t>
  </si>
  <si>
    <t>G013</t>
  </si>
  <si>
    <t>同一券多模块引用独立发放</t>
  </si>
  <si>
    <t>PRD 8.9规定同一券被多模块引用时独立发放不去重，原用例未覆盖</t>
  </si>
  <si>
    <t>新增INV-CFG-009覆盖多模块引用场景</t>
  </si>
  <si>
    <t>G014</t>
  </si>
  <si>
    <t>同一用户作为邀请人和被邀请人</t>
  </si>
  <si>
    <t>PRD 8.10规定用户可同时是邀请人和被邀请人，独立计算，原用例未覆盖</t>
  </si>
  <si>
    <t>新增INV-LMT-008覆盖角色独立性场景</t>
  </si>
  <si>
    <t>G015</t>
  </si>
  <si>
    <t>同一手机号多账户限制</t>
  </si>
  <si>
    <t>PRD 8.4规定一个手机号只能注册一个账户，原用例未覆盖</t>
  </si>
  <si>
    <t>新增INV-LMT-009覆盖手机号唯一性限制</t>
  </si>
  <si>
    <t>G016</t>
  </si>
  <si>
    <t>数据埋点验证</t>
  </si>
  <si>
    <t>PRD 9定义了5个埋点事件，原用例未覆盖</t>
  </si>
  <si>
    <t>新增INV-UI-008覆盖弹窗曝光/一键领取/关闭/前往使用/邀请成功埋点</t>
  </si>
  <si>
    <t>邀请奖励2.0 - 开关机制与防回溯</t>
  </si>
  <si>
    <t>用例编号</t>
  </si>
  <si>
    <t>测试项</t>
  </si>
  <si>
    <t>优先级</t>
  </si>
  <si>
    <t>归属版本</t>
  </si>
  <si>
    <t>前置条件</t>
  </si>
  <si>
    <t>输入/执行步骤</t>
  </si>
  <si>
    <t>预计结果</t>
  </si>
  <si>
    <t>实际结果</t>
  </si>
  <si>
    <t>是否通过</t>
  </si>
  <si>
    <t>INV-SW-001</t>
  </si>
  <si>
    <t>关闭状态配置可编辑</t>
  </si>
  <si>
    <t>V2.0</t>
  </si>
  <si>
    <t>邀请奖励开关处于关闭状态，管理员已登录后台</t>
  </si>
  <si>
    <t>1. 进入邀请奖励配置页
2. 修改奖励类型、选择优惠券、设置次数
3. 保存配置
4. 查看是否提示保存成功
5. 刷新页面确认配置已持久化</t>
  </si>
  <si>
    <t>关闭状态下所有配置项可编辑；保存成功后配置持久化；不会触发任何奖励发放</t>
  </si>
  <si>
    <t>关闭状态下，可编辑；开启状态，不可编辑</t>
  </si>
  <si>
    <t>PASS</t>
  </si>
  <si>
    <t>INV-SW-002</t>
  </si>
  <si>
    <t>开启状态配置锁定</t>
  </si>
  <si>
    <t>邀请奖励开关处于开启状态，已有有效配置</t>
  </si>
  <si>
    <t>1. 进入邀请奖励配置页
2. 尝试修改奖励类型、优惠券、次数
3. 尝试保存修改
4. 查看操作列是否仅显示关闭开关
5. 刷新后确认配置未被修改</t>
  </si>
  <si>
    <t>开启状态下配置项不可编辑或保存被拦截；仅可操作关闭开关；配置保持开启时的状态不变</t>
  </si>
  <si>
    <t>INV-SW-003</t>
  </si>
  <si>
    <t>开启时校验至少一张券</t>
  </si>
  <si>
    <t>开关处于关闭状态，未选择任何优惠券</t>
  </si>
  <si>
    <t>1. 移除所有已选优惠券
2. 点击开启开关
3. 查看是否被拦截并提示
4. 补选一张有效券后再次开启
5. 查看开关状态</t>
  </si>
  <si>
    <t>未选券时开启被后端参数校验拦截；提示「至少选择一张优惠券」；开关保持关闭状态；补选后开启成功</t>
  </si>
  <si>
    <t>唯有优惠劵时，开启提示：“请至少选择一张优惠券后再开启邀请奖励”</t>
  </si>
  <si>
    <t>INV-SW-004</t>
  </si>
  <si>
    <t>重开后不补发关闭期间邀请奖励</t>
  </si>
  <si>
    <t>开关开启中，有用户A通过邀请码注册了账号但未获得奖励(因开关即将关闭)</t>
  </si>
  <si>
    <t>1. 记录关闭前最后一条邀请记录
2. 关闭开关
3. 在关闭期间模拟被邀请人B通过邀请码注册
4. 重新开启开关
5. 查看被邀请人B的邀请人是否获得关闭期间的奖励
6. 查看开关开启后的新邀请是否正常发放</t>
  </si>
  <si>
    <t>关闭期间的邀请不补发奖励(防回溯)；开关开启后的新邀请正常触发奖励；关闭期间的邀请关系已建立但不发券</t>
  </si>
  <si>
    <t>1.关闭时邀请的不补发
2.开启后正常触发奖励</t>
  </si>
  <si>
    <t>INV-SW-005</t>
  </si>
  <si>
    <t>开关多次切换状态与配置保持</t>
  </si>
  <si>
    <t>管理员已登录，初始状态为关闭</t>
  </si>
  <si>
    <t>1. 配置奖励参数并开启
2. 关闭开关
3. 修改配置
4. 再次开启
5. 再次关闭
6. 每次切换后检查配置锁定/解锁状态和配置数据完整性</t>
  </si>
  <si>
    <t>每次切换状态正确(关闭=可编辑/开启=锁定)；配置数据在切换过程中不丢失；多次切换后配置为最后一次关闭时保存的值</t>
  </si>
  <si>
    <t>保存为最后一次</t>
  </si>
  <si>
    <t>INV-SW-006</t>
  </si>
  <si>
    <t>关闭期间新邀请不触发奖励但建立关系</t>
  </si>
  <si>
    <t>开关处于关闭状态</t>
  </si>
  <si>
    <t>1. 确认开关关闭
2. 被邀请人C通过邀请码注册
3. 查看邀请人账户是否收到券
4. 查看上下级关系是否已建立
5. 开启开关后查看C的邀请人是否补发</t>
  </si>
  <si>
    <t>关闭期间新邀请不发放奖励券；上下级邀请关系已正常建立；开启后不补发关闭期间的奖励；后续分销奖励不受影响</t>
  </si>
  <si>
    <t>邀请奖励2.0 - 奖励配置与券选择</t>
  </si>
  <si>
    <t>INV-CFG-001</t>
  </si>
  <si>
    <t>仅展示进行中的优惠券</t>
  </si>
  <si>
    <t>系统中存在进行中、未开始、已结束三种状态的优惠券</t>
  </si>
  <si>
    <t>1. 进入邀请奖励配置页
2. 点击选择优惠券
3. 查看券列表中包含哪些状态的券
4. 核对进行中券是否全部展示
5. 核对未开始和已结束券是否不可见</t>
  </si>
  <si>
    <t>券选择列表仅展示进行中的优惠券；未开始和已结束的券不可见(可见性不可见断言)；进行中券全部展示无遗漏</t>
  </si>
  <si>
    <t>仅展示所有进行中的优惠劵</t>
  </si>
  <si>
    <t>INV-CFG-002</t>
  </si>
  <si>
    <t>已结束和未开始券不可见</t>
  </si>
  <si>
    <t>系统中存在已结束和未开始状态的优惠券</t>
  </si>
  <si>
    <t>1. 进入券选择弹窗
2. 搜索已结束的券名称
3. 搜索未开始的券名称
4. 通过接口直接请求券列表
5. 查看返回数据是否包含非进行中券</t>
  </si>
  <si>
    <t>已结束和未开始券在弹窗中不可见；接口返回数据仅包含进行中券；搜索不可绕过状态过滤</t>
  </si>
  <si>
    <t>已结束和未开始券在弹窗中不可见</t>
  </si>
  <si>
    <t>INV-CFG-003</t>
  </si>
  <si>
    <t>已添加券去重不重复展示</t>
  </si>
  <si>
    <t>已选中券CP20260630001</t>
  </si>
  <si>
    <t>1. 打开券选择弹窗
2. 查看CP20260630001在列表中的展示
3. 尝试再次添加该券
4. 查看已选券列表是否出现重复
5. 查看操作列展示</t>
  </si>
  <si>
    <t>已添加的券在列表中标记为「已添加」或不可再次选择；已选券列表无重复项；去重逻辑前后端一致</t>
  </si>
  <si>
    <t>已添加的券在列表中标记为「已添加」或不可再次选择，鼠标移上去变成禁止符号</t>
  </si>
  <si>
    <t>INV-CFG-004</t>
  </si>
  <si>
    <t>添加后弹窗不关闭可继续添加</t>
  </si>
  <si>
    <t>优惠券选择弹窗已打开</t>
  </si>
  <si>
    <t>1. 选择一张有效券并确认添加
2. 查看弹窗是否关闭
3. 继续选择第二张券并添加
4. 查看已选券列表是否新增
5. 手动关闭弹窗</t>
  </si>
  <si>
    <t>添加券后弹窗保持打开状态；可连续添加多张券；已选券列表实时更新；手动关闭弹窗后已选券保留</t>
  </si>
  <si>
    <t>添加完优惠卷，弹窗自动关闭</t>
  </si>
  <si>
    <t>INV-CFG-005</t>
  </si>
  <si>
    <t>优惠券详情正确展示</t>
  </si>
  <si>
    <t>已选券列表包含满减券和折扣券</t>
  </si>
  <si>
    <t>1. 查看已选券CP20260630001详情
2. 核对券类型(满减)、面额(满100减20)、业务线(账号交易)、有效期(2026.06-2026.07)
3. 查看已选券CP20260630002详情
4. 核对券类型(折扣8.5折)、业务线(全平台)、门槛(无门槛)、有效期(2026.07-2026.08)
5. 检查长名称券是否截断或换行</t>
  </si>
  <si>
    <t>券类型、面额、业务线、有效期等字段完整准确展示；满减券和折扣券展示格式区分清晰；长名称券自动换行不截断</t>
  </si>
  <si>
    <t>展示清晰，长字段省略，点击或鼠标放上去展示</t>
  </si>
  <si>
    <t>INV-CFG-006</t>
  </si>
  <si>
    <t>移除已选券操作</t>
  </si>
  <si>
    <t>已选券列表有2张券</t>
  </si>
  <si>
    <t>1. 点击其中一张券的移除按钮
2. 查看该券是否从已选列表移除
3. 打开券选择弹窗查看该券是否恢复可选
4. 在开关开启状态下尝试移除
5. 查看移除是否被锁定拦截</t>
  </si>
  <si>
    <t>关闭状态下移除成功且列表更新；移除后该券在弹窗中恢复可选；开启状态下移除操作被锁定拦截</t>
  </si>
  <si>
    <t>关闭状态下删除成功且列表更新；移除后该券在弹窗中恢复可选；开启状态下移除操作被锁定拦截</t>
  </si>
  <si>
    <t>INV-CFG-007</t>
  </si>
  <si>
    <t>奖励类型仅优惠券且默认选中</t>
  </si>
  <si>
    <t>进入邀请奖励配置页</t>
  </si>
  <si>
    <t>1. 查看奖励类型选项
2. 确认当前可选类型
3. 确认默认选中项
4. 尝试切换其他类型(如有)
5. 查看后续扩展兼容性注释或提示</t>
  </si>
  <si>
    <t>当前仅支持优惠券类型且默认选中；无其他类型可选；后续新增类型直接加选项即可(需求已注明)</t>
  </si>
  <si>
    <t>可以选择优惠劵配置中所有开启的优惠劵</t>
  </si>
  <si>
    <t>INV-CFG-008</t>
  </si>
  <si>
    <t>配置的券被删除后已选列表自动移除</t>
  </si>
  <si>
    <t>邀请奖励已配置优惠券A，开关处于关闭状态</t>
  </si>
  <si>
    <t>1. 记录当前已选券列表
2. 后台删除优惠券A
3. 刷新邀请奖励配置页
4. 查看已选券列表是否自动移除券A
5. 查看已领取该券的用户券包是否受影响
6. 开启开关查看是否正常</t>
  </si>
  <si>
    <t>已选列表自动移除被删除的券A；已领取用户券包不受影响，券仍可用；剩余券满足开启条件时可正常开启；被删除券的发放记录仍保留可追溯</t>
  </si>
  <si>
    <t>后台优惠劵模块删除不影响已经发放的优惠劵；被关闭/删除的优惠劵卡包不可见</t>
  </si>
  <si>
    <t>INV-CFG-009</t>
  </si>
  <si>
    <t>同一券被多模块引用独立发放</t>
  </si>
  <si>
    <t>优惠券B同时被新人奖励和邀请奖励引用，开关均开启</t>
  </si>
  <si>
    <t>1. 确认优惠券B同时在新人奖励和邀请奖励的已选列表中
2. 新用户注册触发新人奖励，获得券B
3. 被邀请人通过邀请码注册，邀请人获得券B
4. 查看两个模块的发放记录
5. 查看用户券包中是否存在多张券B</t>
  </si>
  <si>
    <t>新人奖励和邀请奖励独立发放券B，不跨模块去重；用户可在不同弹窗中分别领取同一张券；账户中存在多张券B；各模块发放记录独立完整</t>
  </si>
  <si>
    <t>新人奖励和邀请奖励独立发放券B，不跨模块去重卷包显示有两张B优惠劵；用户可在不同弹窗中分别领取同一张券；账户中存在多张券B；各模块发放记录独立完整</t>
  </si>
  <si>
    <t>邀请奖励2.0 - 次数限制与触发条件</t>
  </si>
  <si>
    <t>INV-LMT-001</t>
  </si>
  <si>
    <t>次数为0代表不限制</t>
  </si>
  <si>
    <t>开关关闭，次数配置项可编辑</t>
  </si>
  <si>
    <t>1. 将最大获得奖励次数设置为0
2. 保存配置
3. 开启开关
4. 模拟邀请人发起超过3次邀请且被邀请人均注册
5. 查看每次邀请是否都发放奖励
6. 查看C端展示</t>
  </si>
  <si>
    <t>次数=0时不限制奖励发放次数；每次有效邀请均发放奖励；C端不展示上限或展示为不限</t>
  </si>
  <si>
    <t>1.次数=0时不限制奖励发放次数
2.每次有效邀请均发放奖励
3.客户端不展示上限或展示为不限</t>
  </si>
  <si>
    <t>INV-LMT-002</t>
  </si>
  <si>
    <t>达上限后不发券</t>
  </si>
  <si>
    <t>邀请人已获得2次奖励，上限配置为3次</t>
  </si>
  <si>
    <t>1. 邀请人发起第3次有效邀请(被邀请人注册)
3. 查看是否正常发放第3次奖励
3. 邀请人发起第4次有效邀请
4. 查看是否发放奖励
5. 查看C端展示「已获得3/3次」</t>
  </si>
  <si>
    <t>第3次正常发放奖励；第4次不发放奖励券；C端展示「已获得3/3次」；不突破次数限制</t>
  </si>
  <si>
    <t>INV-LMT-003</t>
  </si>
  <si>
    <t>达上限后上下级关系仍建立</t>
  </si>
  <si>
    <t>邀请人已达奖励上限3次</t>
  </si>
  <si>
    <t>1. 邀请人发起第4次邀请
2. 被邀请人通过邀请码注册
3. 查看上下级关系是否建立
4. 查看分销系统是否有该邀请关系记录
5. 模拟被邀请人产生分销佣金</t>
  </si>
  <si>
    <t>达上限后上下级关系正常建立；分销系统有该邀请关系记录；被邀请人产生的分销佣金正常计算不受影响</t>
  </si>
  <si>
    <t>INV-LMT-004</t>
  </si>
  <si>
    <t>达上限后分销奖励不受影响</t>
  </si>
  <si>
    <t>邀请人已达奖励上限，被邀请人已注册并产生租赁订单</t>
  </si>
  <si>
    <t>1. 确认邀请人已达邀请奖励上限
2. 被邀请人完成租赁订单
3. 查看分销佣金是否正常计算和发放
4. 查看分销奖励与邀请奖励是否独立
5. 修改上限后查看分销奖励是否追溯</t>
  </si>
  <si>
    <t>分销佣金正常计算和发放；邀请奖励与分销奖励互相独立；修改邀请奖励上限不影响已产生的分销佣金</t>
  </si>
  <si>
    <t>INV-LMT-005</t>
  </si>
  <si>
    <t>次数输入异常值前端校验</t>
  </si>
  <si>
    <t>开关关闭，次数配置可编辑</t>
  </si>
  <si>
    <t>1. 输入负数(如-1)并保存
2. 输入非数字(如abc)并保存
3. 输入小数(如3.5)并保存
4. 输入超大值(如99999999)并保存
5. 输入空值并保存</t>
  </si>
  <si>
    <t>负数被前端校验拦截并提示；非数字输入被拦截；小数被拦截或取整；超大值被范围校验拦截或允许；空值被必填校验拦截</t>
  </si>
  <si>
    <t>负数拦截；非数字输入被拦截；小数被拦截或取整；超大值被范围校验拦截或允许；空值拦截</t>
  </si>
  <si>
    <t>INV-LMT-006</t>
  </si>
  <si>
    <t>邀请码和邀请链接两种触发方式</t>
  </si>
  <si>
    <t>邀请人已有邀请码和邀请链接，开关已开启</t>
  </si>
  <si>
    <t>1. 被邀请人A通过邀请码注册并且产生交易
2. 查看邀请人是否获得奖励
3. 被邀请人B通过邀请链接注册并且产生交易
4. 查看邀请人是否获得奖励
5. 对比两种触发方式的发放结果
6. 验证邀请码永久有效(长期不过期)</t>
  </si>
  <si>
    <t>邀请码注册正常触发奖励；邀请链接注册正常触发奖励；两种方式发放的奖励一致；已确认规则:邀请码永久有效无过期时间</t>
  </si>
  <si>
    <t>邀请码永久有效，邀请码和邀请链接效果一致</t>
  </si>
  <si>
    <t>INV-LMT-007</t>
  </si>
  <si>
    <t>后台修改次数未确认前保持原值与超限不回退</t>
  </si>
  <si>
    <t>当前次数上限为5，部分用户已获得4-5次奖励，管理员正在修改次数</t>
  </si>
  <si>
    <t>1. 管理员将次数从5修改为3但未点击确认
2. 查看当前生效的次数限制是否仍为5
3. 查看已获得4-5次奖励的用户券是否仍存在
4. 查看超限用户是否仍可使用已获得的券
5. 管理员确认修改为3后查看新邀请是否按3限制
6. 查看已获得4-5次的用户券是否回退</t>
  </si>
  <si>
    <t>已确认规则:后台修改未确认前默认为更改前的人数限制(仍为5)；次数修改后超过的部分用户不对优惠券进行回退，用户依然可以使用；确认后新邀请按新上限限制；已超限用户的已获得券不回退</t>
  </si>
  <si>
    <t>未保留按保留前的标准，按了保留后，标准改变；不对已经发放的优惠劵进行回退</t>
  </si>
  <si>
    <t>INV-LMT-008</t>
  </si>
  <si>
    <t>同一用户作为邀请人和被邀请人独立计算</t>
  </si>
  <si>
    <t>用户A邀请用户B注册，用户B后续邀请用户C注册，开关开启</t>
  </si>
  <si>
    <t>1. 用户A邀请用户B，B注册成功
2. 查看A是否获得邀请奖励
3. 用户B邀请用户C，C注册成功
4. 查看B是否获得邀请奖励
5. 核对A和B的奖励次数是否独立计算
6. 查看上下级关系链A→B→C是否正确</t>
  </si>
  <si>
    <t>A邀请B获得奖励，B邀请C也获得奖励；A和B的奖励次数独立计算互不影响；上下级关系链A→B→C正确建立；每个角色可同时是邀请人和被邀请人</t>
  </si>
  <si>
    <t>INV-LMT-009</t>
  </si>
  <si>
    <t>同一手机号多账户注册限制</t>
  </si>
  <si>
    <t>手机号138xxxx8888已注册平台账户，开关开启</t>
  </si>
  <si>
    <t>1. 使用已注册的手机号138xxxx8888尝试再次注册
2. 查看系统是否拦截
3. 尝试通过不同设备使用同一手机号注册
4. 查看是否提示手机号已被注册
5. 确认邀请奖励不会因重复注册而触发</t>
  </si>
  <si>
    <t>平台限制一个手机号只能注册一个账户；重复注册被拦截并提示；不同设备使用同一手机号同样被拦截；不会因重复注册触发邀请奖励</t>
  </si>
  <si>
    <t>平台限制一个手机号只能注册一个账户；注销后重复注册被拦截并提示：已注销账号；不同设备使用同一手机号同样被拦截；不会因重复注册交易触发邀请奖励</t>
  </si>
  <si>
    <t>邀请奖励2.0 - 券发放与回退链路</t>
  </si>
  <si>
    <t>INV-ISS-001</t>
  </si>
  <si>
    <t>邀请交易成功-券正确发放到邀请人账户</t>
  </si>
  <si>
    <t>开关已开启，配置1张满减券，邀请人未达上限</t>
  </si>
  <si>
    <t>1. 被邀请人通过邀请码完成注册
2. 查看邀请人优惠券列表
3. 核对券类型、面额、有效期
4. 查看发放流水记录
5. 查看邀请人券包中券状态为可用</t>
  </si>
  <si>
    <t>邀请人账户收到正确券；券类型/面额/有效期与配置一致；发放流水记录完整(邀请人/被邀请人/券ID/时间)；券状态为可用</t>
  </si>
  <si>
    <t>邀请人同时收到邀请奖励优惠劵；优惠劵可追溯，优惠劵状态可用</t>
  </si>
  <si>
    <t>INV-ISS-002</t>
  </si>
  <si>
    <t>多券组合配置与单次使用一张</t>
  </si>
  <si>
    <t>开关已开启，配置2张券(满减券+折扣券)，邀请人未达上限</t>
  </si>
  <si>
    <t>1. 被邀请人通过邀请码注册
2. 查看邀请人收到的券数量
3. 核对收到的券是否为配置的全部券
4. 邀请人创建交易/租赁订单时选择券
5. 验证一次只能使用一张优惠券
6. 查看使用后剩余券是否仍可用</t>
  </si>
  <si>
    <t>邀请人收到配置的全部券；交易和租赁订单一次只能使用一张优惠券(目前版本)；使用一张后剩余券仍可在后续订单中使用；发放记录可追溯</t>
  </si>
  <si>
    <t>收到所有开启的优惠劵；一次只能用一张优惠劵；后续可以继续使用剩余的优惠劵</t>
  </si>
  <si>
    <t>INV-ISS-003</t>
  </si>
  <si>
    <t>重复邀请同一人不重复发放</t>
  </si>
  <si>
    <t>邀请人已通过邀请码邀请被邀请人C并已获得奖励</t>
  </si>
  <si>
    <t>1. 邀请人再次用邀请码邀请C(同一手机号/账号)
2. 查看是否再次发放奖励
3. 通过接口重放邀请注册请求
4. 查看邀请人奖励次数是否增加
5. 查看券包是否有重复券</t>
  </si>
  <si>
    <t>同一被邀请人不重复发放奖励；接口重放被后端唯一性校验(唯一索引)拦截；邀请人奖励次数不增加；券包无重复券</t>
  </si>
  <si>
    <t>邀请奖励不重复发放</t>
  </si>
  <si>
    <t>INV-ISS-004</t>
  </si>
  <si>
    <t>邀请关系撤销后已发放券不回收</t>
  </si>
  <si>
    <t>邀请人已因邀请C获得奖励券且券未使用</t>
  </si>
  <si>
    <t>1. 后台撤销邀请人与C的邀请关系
2. 查看邀请人已获得的奖励券是否仍存在
3. 查看券状态是否仍为可用
4. 尝试使用该券下单
5. 查看邀请人奖励次数是否变化
6. 查看撤销记录是否可追溯</t>
  </si>
  <si>
    <t>已确认规则:已发放的优惠券不进行收回；撤销关系后券仍存在于邀请人券包中；券状态仍为可用可正常使用；邀请人奖励次数不回退；撤销记录可追溯</t>
  </si>
  <si>
    <t>优惠劵不回退</t>
  </si>
  <si>
    <t>INV-ISS-005</t>
  </si>
  <si>
    <t>券到期后未领取不显示且无法使用</t>
  </si>
  <si>
    <t>配置的优惠券即将到期，开关已开启</t>
  </si>
  <si>
    <t>1. 配置一张即将到期的券(1小时后到期)
2. 开启开关
3. 等待券到期后模拟邀请注册
4. 查看是否尝试发放
5. 查看已过期券在客户端是否显示
6. 尝试使用已过期券下单</t>
  </si>
  <si>
    <t>已确认规则:配置的券到期还未领取就不在客户端显示；已过期的券无法使用；到期后新邀请不发放该券；有失败记录和告警；邀请关系正常建立</t>
  </si>
  <si>
    <t>到期优惠劵未领取的不在显示，已经领取的显示已经过期无法使用</t>
  </si>
  <si>
    <t>INV-ISS-006</t>
  </si>
  <si>
    <t>发放记录流水完整性</t>
  </si>
  <si>
    <t>有多条邀请奖励发放记录</t>
  </si>
  <si>
    <t>1. 查看发放流水列表
2. 核对每条记录包含：邀请人ID/被邀请人ID/券ID/发放时间/发放状态/触发方式
3. 按时间/邀请人/状态筛选
4. 导出发放记录
5. 查看导出数据脱敏</t>
  </si>
  <si>
    <t>每条发放记录字段完整；筛选功能正常；导出数据对敏感字段脱敏(手机号掩码)；流水不可篡改</t>
  </si>
  <si>
    <t>发放记录完整可见可追溯；筛选功能正常；暂不导出；流水不可篡改</t>
  </si>
  <si>
    <t>INV-ISS-007</t>
  </si>
  <si>
    <t>注销后重新注册的邀请关系与奖励处理</t>
  </si>
  <si>
    <t>用户C手机号138xxxx8888已通过邀请码注册并绑定上级A，C已注销账号</t>
  </si>
  <si>
    <t>1. C使用同一手机号138xxxx8888重新注册
2. 查看系统是否识别C为老用户
3. 查看C是否自动绑定到原先上级A或无法触发邀请奖励
4. 查看C注销后与原先上下级关系是否消失
5. C重新输入B的邀请码尝试绑定新上级
6. 查看是否需要重新绑定才能建立关系</t>
  </si>
  <si>
    <t>已确认规则:邀请奖励绑定手机号，一个手机号算一个用户；注销后再注册自动绑定到原先上级或识别为老用户无法触发邀请奖励；注销后再注册与原先上下级关系消失，需重新绑定；重新绑定后正常建立新上下级关系</t>
  </si>
  <si>
    <t>未识别未老用户，重新绑定显示为新用户</t>
  </si>
  <si>
    <t>FAIL</t>
  </si>
  <si>
    <t>INV-ISS-008</t>
  </si>
  <si>
    <t>弹窗优先级-新人&gt;邀请&gt;通用领券</t>
  </si>
  <si>
    <t>邀请人同时有未领取的邀请奖励券和通用领券，且被邀请人为新用户触发新人奖励</t>
  </si>
  <si>
    <t>1. 邀请人登录C端
2. 查看弹窗弹出顺序
3. 确认新人奖励弹窗优先弹出
4. 关闭新人奖励弹窗后查看邀请奖励弹窗
5. 关闭邀请奖励弹窗后查看通用领券弹窗
6. 核对弹窗顺序是否符合优先级规则</t>
  </si>
  <si>
    <t>弹窗按优先级顺序弹出：新人奖励(1)→邀请奖励(2)→通用领券(3)；每个弹窗关闭后才弹下一个；仅有一个弹窗时直接弹出该弹窗</t>
  </si>
  <si>
    <t>弹窗按优先级顺序弹出：新人奖励(1)通用领券(2)，邀请奖励优惠劵自动发放到用户卷包中；每个弹窗关闭后才弹下一个；仅有一个弹窗时直接弹出该弹窗</t>
  </si>
  <si>
    <t>INV-ISS-009</t>
  </si>
  <si>
    <t>不可手动领取券即刻到账标记已领取</t>
  </si>
  <si>
    <t>开关开启，配置的优惠券为不可手动领取类型，邀请人未达上限</t>
  </si>
  <si>
    <t>1. 被邀请人通过邀请码完成注册
2. 立即查看邀请人券包
3. 查看券状态是否为已领取
4. 查看弹窗中该券是否标记「已领取」
5. 核对发放时间是否为注册完成时刻</t>
  </si>
  <si>
    <t>不可手动领取的券在被邀请人注册完成时即刻到账；券状态标记为「已领取」；弹窗中该券显示「已领取」而非「待领取」；发放时间为注册完成时刻</t>
  </si>
  <si>
    <t>不可手动领取的券在被邀请人注册完成时即刻实时到账；券状态标记为「已领取」；系统自动发放到邀请人用户卷包中；发放时间为注册完成时刻</t>
  </si>
  <si>
    <t>INV-ISS-010</t>
  </si>
  <si>
    <t>可手动领取券弹窗待领取一键领取</t>
  </si>
  <si>
    <t>开关开启，配置的优惠券为可手动领取类型，邀请人未达上限</t>
  </si>
  <si>
    <t>1. 被邀请人通过邀请码完成注册
2. 邀请人登录后查看弹窗
3. 查看券是否标记「待领取」
4. 点击「一键领取」按钮
5. 查看券是否到账
6. 查看弹窗底部按钮是否变为「前往使用」</t>
  </si>
  <si>
    <t>可手动领取的券在弹窗中标记「待领取」；点击一键领取后券到账；领取后底部按钮变为「前往使用」；全部领取后不再弹出该弹窗</t>
  </si>
  <si>
    <t>可手动领取的券在弹窗中标记「待领取」；点击一键领取后券到账；领取后底部按钮变为「前往使用」；全部领取后不再弹出弹窗</t>
  </si>
  <si>
    <t>INV-ISS-011</t>
  </si>
  <si>
    <t>重复弹窗规则-未领取继续弹全部领取不弹</t>
  </si>
  <si>
    <t>邀请人有未领取的邀请奖励券，已弹窗但未领取</t>
  </si>
  <si>
    <t>1. 邀请人登录弹出邀请奖励弹窗
2. 不领取直接关闭弹窗
3. 退出重新登录
4. 查看弹窗是否再次弹出
5. 一键领取全部券
6. 再次退出重新登录
7. 查看是否不再弹出邀请奖励弹窗</t>
  </si>
  <si>
    <t>存在未领取的券时下次登录继续弹窗；全部领取后不再弹出邀请奖励弹窗；弹窗规则与新人奖励、通用领券一致</t>
  </si>
  <si>
    <t>存在未领取的可手动领取的优惠券时下次登录在商品详情页面可继续弹窗；全部领取后不再弹出邀请奖励弹窗；弹窗规则与新人奖励、通用领券一致</t>
  </si>
  <si>
    <t>邀请奖励2.0 - 并发一致性与异常容错</t>
  </si>
  <si>
    <t>INV-CONC-001</t>
  </si>
  <si>
    <t>并发邀请同一被邀请人去重与唯一上级</t>
  </si>
  <si>
    <t>两个邀请人A和B同时邀请同一被邀请人C</t>
  </si>
  <si>
    <t>1. 构造并发请求：A和B同时用各自邀请码邀请C
2. 查看C最终归属哪个邀请人
3. 查看是否只发放一次奖励
4. 查看另一个邀请人是否未获得奖励
5. C已有上级后尝试输入D的邀请码
6. 查看C是否无法成为D的下级</t>
  </si>
  <si>
    <t>已确认规则:一个人只能输一个人的邀请码，无法同时被两个人邀请；并发请求通过后端并发校验(乐观锁/分布式锁)去重；C仅归属一个邀请人；成为一个人的下级后不能再成为另一个人的下级；仅发放一次奖励</t>
  </si>
  <si>
    <t>1.一个人只能输一个人的邀请码，无法同时被两个人邀请
2.成为一个人的下级后不能再成为另一个人的下级
3.仅发放一次奖励</t>
  </si>
  <si>
    <t>INV-CONC-002</t>
  </si>
  <si>
    <t>开关切换并发的配置一致性</t>
  </si>
  <si>
    <t>管理员A正在保存配置，管理员B同时切换开关</t>
  </si>
  <si>
    <t>1. 管理员A修改配置并点击保存
2. 同时管理员B点击开启开关
3. 查看最终配置和开关状态
4. 查看是否出现配置与开关状态不一致
5. 查看是否有冲突提示</t>
  </si>
  <si>
    <t>后端并发校验识别冲突；不出现配置已改但开关仍锁定或反之的状态不一致；至少一方收到冲突提示需刷新重试</t>
  </si>
  <si>
    <t>1.异步访问，要重新刷新才能得到信息
2.不出现配置已改但开关仍锁定或反之的状态不一致</t>
  </si>
  <si>
    <t>INV-CONC-003</t>
  </si>
  <si>
    <t>发券服务超时失败的容错</t>
  </si>
  <si>
    <t>模拟发券服务超时或返回500</t>
  </si>
  <si>
    <t>1. 被邀请人交易完成触发奖励发放
2. 模拟发券服务超时
3. 查看系统是否重试
4. 查看邀请关系和奖励次数状态
5. 恢复服务后查看是否补发</t>
  </si>
  <si>
    <t>发券失败不导致邀请关系丢失；有重试机制或失败队列；奖励次数不因失败错误增加；恢复后可补发或人工补发</t>
  </si>
  <si>
    <t>有重试机制，可以人工补发优惠劵；奖励与第一笔交易挂钩不会增加</t>
  </si>
  <si>
    <t>INV-CONC-004</t>
  </si>
  <si>
    <t>网络断开后重试不重复发放</t>
  </si>
  <si>
    <t>被邀请人注册过程中网络不稳定</t>
  </si>
  <si>
    <t>1. 被邀请人提交交易成功时网络断开
2. 网络恢复后重试
3. 查看邀请人是否只收到一次奖励
4. 查看注册是否成功
5. 查看是否有重复发放记录</t>
  </si>
  <si>
    <t>网络恢复后注册成功；邀请人仅收到一次奖励；不因重试导致重复发放；数据库无重复记录</t>
  </si>
  <si>
    <t>奖励具有唯一订单关联，无法重复奖励</t>
  </si>
  <si>
    <t>INV-CONC-005</t>
  </si>
  <si>
    <t>数据库事务回退一致性</t>
  </si>
  <si>
    <t>模拟发放券后数据库写入失败</t>
  </si>
  <si>
    <t>1. 触发奖励发放流程
2. 模拟券发放成功但邀请关系写入失败
3. 查看数据库一致性
4. 查看是否回退已发放的券
5. 查看邀请人奖励次数</t>
  </si>
  <si>
    <t>数据库事务保证原子性；券发放和关系写入要么全成功要么全回退；不出现券已发但关系未记录或反之；回退后奖励次数正确</t>
  </si>
  <si>
    <t>优惠劵要么发放成功要么发放失败，一次奖励只能领取一次，，优惠劵记录可追溯</t>
  </si>
  <si>
    <t>INV-CONC-006</t>
  </si>
  <si>
    <t>成为下级后无法再绑定其他上级</t>
  </si>
  <si>
    <t>用户C已通过邀请码绑定上级A，开关已开启</t>
  </si>
  <si>
    <t>1. C已绑定上级A并正常建立关系
2. C尝试输入B的邀请码
3. 查看C是否无法成为B的下级
4. 通过接口直接提交绑定B的请求
5. 查看后端是否拦截
6. 查看C与A的上下级关系是否受影响</t>
  </si>
  <si>
    <t>已确认规则:成为一个人的下级不能再成为另一个人的下级；C输入B的邀请码被拦截并提示已有上级；接口直接提交被后端状态机校验拦截；C与A的上下级关系不受影响</t>
  </si>
  <si>
    <t>一个用户只能有一个上级，用户不可以自己解绑；输入邀请码后台拦截；原关系不受影响</t>
  </si>
  <si>
    <t>邀请奖励2.0 - C端展示与可见性</t>
  </si>
  <si>
    <t>INV-UI-001</t>
  </si>
  <si>
    <t>C端已获得次数与上限展示</t>
  </si>
  <si>
    <t>邀请人已获得2次奖励，上限3次，开关已开启</t>
  </si>
  <si>
    <t xml:space="preserve">1. 邀请人打开C端邀请页面
2. 查看「已获得x/上限次」展示
3. 核对数值与实际发放记录一致
4. 发起第3次邀请后刷新查看
</t>
  </si>
  <si>
    <t>C端不可见性，无法知道实际的邀请人数限制，已经邀请的奖励</t>
  </si>
  <si>
    <t>INV-UI-002</t>
  </si>
  <si>
    <t>次数为0时不展示上限</t>
  </si>
  <si>
    <t>次数配置为0(不限制)，邀请人已获得5次奖励</t>
  </si>
  <si>
    <t>1. 邀请人打开C端邀请页面
2. 发起更多邀请后刷新查看
3. 查看是否有上限提示
4. 对比次数非0时的展示差异</t>
  </si>
  <si>
    <t>次数=0时C端不展示上限或展示为「不限」；已获得次数正常累计；无上限提示阻止邀请；展示与非0配置有明确区分</t>
  </si>
  <si>
    <t>INV-UI-003</t>
  </si>
  <si>
    <t>邀请奖励入口可见性控制</t>
  </si>
  <si>
    <t>开关关闭 vs 开关开启两种状态</t>
  </si>
  <si>
    <t>1. 开关关闭时查看C端邀请页是否有奖励提示
2. 开关开启时查看C端邀请页奖励提示
3. 查看邀请码/链接分享页的奖励说明
4. 未登录用户查看邀请页
5. 查看奖励规则说明文案</t>
  </si>
  <si>
    <t>开关关闭时C端不展示奖励相关提示(不可见断言)；开关开启时正常展示奖励规则；未登录用户可见奖励规则引导注册</t>
  </si>
  <si>
    <t>INV-UI-004</t>
  </si>
  <si>
    <t>券领取记录展示</t>
  </si>
  <si>
    <t>邀请人已获得多张邀请奖励券</t>
  </si>
  <si>
    <t>1. 邀请人查看券领取记录
2. 核对每条记录的券名称/面额/获取时间/来源
3. 查看来源是否标注「邀请奖励」
4. 查看券使用状态
5. 查看长文本券名展示</t>
  </si>
  <si>
    <t>券领取记录完整展示；来源标注为「邀请奖励」；券使用状态正确(未使用/已使用/已过期)；长文本券名自动换行</t>
  </si>
  <si>
    <t>可在后台查看用户领取记录；每一张优惠劵可追溯；长文本优惠劵10字以外自动省略为...</t>
  </si>
  <si>
    <t>INV-UI-005</t>
  </si>
  <si>
    <t>空状态与长文本展示</t>
  </si>
  <si>
    <t>新用户未发起任何邀请</t>
  </si>
  <si>
    <t>1. 新用户打开邀请页面
2. 查看空状态展示和引导文案
3. 查看邀请码/链接复制功能
4. 输入超长邀请码备注
5. 查看窄屏(375px)下的布局</t>
  </si>
  <si>
    <t>空状态有友好引导文案；邀请码/链接可正常复制；超长备注自动换行不溢出；窄屏下布局不错位</t>
  </si>
  <si>
    <t>有良好文案和光标；功能展示正常</t>
  </si>
  <si>
    <t>INV-UI-006</t>
  </si>
  <si>
    <t>达到上限时显示已达最大奖励次数</t>
  </si>
  <si>
    <t>邀请人已获得3次奖励，上限配置为3，开关开启</t>
  </si>
  <si>
    <t>1. 邀请人打开C端邀请页面
2. 查看「已获得x/上限次」展示
3. 核对显示为「3/3」
4. 查看是否有「已达到最大奖励次数」提示
5. 尝试再次发起邀请
6. 查看邀请功能是否仍可用但提示已达上限</t>
  </si>
  <si>
    <t>C端显示「3/3」表示已达上限；显示「已达到最大奖励次数」提示；邀请功能仍可用（可分享邀请码）但不再发放奖励；展示与实际发放记录一致</t>
  </si>
  <si>
    <t>到达最大邀请数量，依旧可以邀请任意人员，但是在交易完成时不在产生邀请优惠经济奖励</t>
  </si>
  <si>
    <t>INV-UI-007</t>
  </si>
  <si>
    <t>弹窗按钮逻辑-待领取显示一键领取</t>
  </si>
  <si>
    <t>邀请人有待领取的邀请奖励券，开关开启</t>
  </si>
  <si>
    <t>1. 邀请人登录触发弹窗
2. 查看底部按钮文案
3. 确认存在待领取券时按钮为「一键领取」
4. 点击一键领取全部券
5. 查看按钮是否变为「前往使用」
6. 关闭弹窗后重新登录查看是否不再弹出</t>
  </si>
  <si>
    <t>存在待领取券时底部按钮为「一键领取」；全部领取后按钮变为「前往使用」；点击前往使用跳转到券使用页面；全部领取后重新登录不再弹出</t>
  </si>
  <si>
    <t>INV-UI-008</t>
  </si>
  <si>
    <t>邀请奖励弹窗数据埋点验证</t>
  </si>
  <si>
    <t>邀请人有未领取的邀请奖励券，已接入埋点上报</t>
  </si>
  <si>
    <t>1. 邀请人登录触发弹窗，检查invite_popup_show事件
2. 点击一键领取，检查invite_popup_claim_all事件
3. 关闭弹窗，检查invite_popup_close事件
4. 点击前往使用，检查invite_popup_goto_use事件
5. 被邀请人注册成功，检查invite_success事件
6. 核对每个事件的上报字段</t>
  </si>
  <si>
    <t>5个埋点事件均正确触发；invite_popup_show上报user_id和coupon_count；invite_popup_claim_all上报user_id和coupon_ids；invite_success上报inviter_id和invitee_id；字段值与实际一致</t>
  </si>
  <si>
    <t>显示正确，功能无异常</t>
  </si>
  <si>
    <t>邀请奖励2.0 - 权限审计与安全</t>
  </si>
  <si>
    <t>INV-SEC-001</t>
  </si>
  <si>
    <t>仅管理员可配置邀请奖励</t>
  </si>
  <si>
    <t>管理员、运营人员、普通用户三种角色账号</t>
  </si>
  <si>
    <t>1. 管理员登录后台访问邀请奖励配置页
2. 运营人员登录尝试访问配置页
3. 普通用户尝试通过URL直接访问
4. 通过接口直接调用配置保存接口
5. 查看各角色的访问和操作结果</t>
  </si>
  <si>
    <t>管理员可正常访问和操作；运营人员按RBAC角色校验结果决定可否访问；普通用户接口被后端权限校验(RBAC)拦截；URL直接访问被重定向</t>
  </si>
  <si>
    <t>仅管理员可以配置邀请奖励</t>
  </si>
  <si>
    <t>INV-SEC-002</t>
  </si>
  <si>
    <t>配置变更写入审计日志</t>
  </si>
  <si>
    <t>管理员具备配置权限</t>
  </si>
  <si>
    <t>1. 新增/移除优惠券并查看审计日志
2. 修改次数限制并查看审计日志
3. 开启/关闭开关并查看审计日志
4. 核对每条日志是否记录操作者/时间/IP/操作类型/变更前值/变更后值
5. 验证日志不可被普通管理员篡改</t>
  </si>
  <si>
    <t>每类变更均记录操作者/时间/IP/操作类型/变更前值/变更后值；高危操作(开关切换/券变更)记录完整；日志不可篡改</t>
  </si>
  <si>
    <t>操作日志上面每类变更均记录操作者/时间/IP/操作类型/变更前值/变更后值；高危操作记录完整；日志不可篡改</t>
  </si>
  <si>
    <t>INV-SEC-003</t>
  </si>
  <si>
    <t>接口越权与参数篡改防护</t>
  </si>
  <si>
    <t>具备抓包或接口调试能力</t>
  </si>
  <si>
    <t>1. 修改请求中的角色标识为管理员
2. 修改次数为负数绕过前端校验
3. 在开关关闭状态下通过接口强制保存
4. 重放历史保存请求
5. 查看后端是否拦截</t>
  </si>
  <si>
    <t>后端权限校验(RBAC)拦截角色伪造；后端参数校验(必填/格式/范围)拦截负数；后端状态机校验拦截关闭态保存；重放请求被拦截</t>
  </si>
  <si>
    <t>1.后端权限校验拦截角色伪造
2.后端参数校验拦截负数</t>
  </si>
  <si>
    <t>INV-SEC-004</t>
  </si>
  <si>
    <t>敏感数据脱敏</t>
  </si>
  <si>
    <t>发放记录中包含邀请人和被邀请人手机号</t>
  </si>
  <si>
    <t>1. 管理员查看发放记录列表
2. 查看手机号是否脱敏(如138****8888)
3. 导出发放记录查看脱敏
4. 切换角色查看脱敏差异
5. 点击小眼睛查看明文后刷新回退</t>
  </si>
  <si>
    <t>列表展示手机号脱敏；导出数据同样脱敏；不同角色脱敏规则一致或有差异按RBAC；小眼睛查看明文后刷新恢复脱敏</t>
  </si>
  <si>
    <t>手机号等敏感数据脱敏</t>
  </si>
  <si>
    <t>INV-SEC-005</t>
  </si>
  <si>
    <t>审计日志不可篡改</t>
  </si>
  <si>
    <t>已有多条审计日志</t>
  </si>
  <si>
    <t>1. 尝试通过后台界面编辑审计日志
2. 通过接口修改日志记录
3. 直接操作数据库修改日志
4. 查看日志是否有防篡改机制(如签名/只追加)
5. 查看日志导出是否与原始一致</t>
  </si>
  <si>
    <t>后台界面无编辑入口；接口修改被拦截；数据库层面有防篡改机制或日志审计；日志导出与原始记录一致</t>
  </si>
  <si>
    <t>后台页面无法在前端更改，日志具有不可更改性</t>
  </si>
  <si>
    <t>邀请奖励2.0 - 兼容性与回归</t>
  </si>
  <si>
    <t>INV-COMP-001</t>
  </si>
  <si>
    <t>浏览器兼容性</t>
  </si>
  <si>
    <t>Chrome/Edge/Safari三种浏览器</t>
  </si>
  <si>
    <t>1. Chrome浏览器打开配置页操作全部功能
2. Edge浏览器重复操作
3. Safari浏览器重复操作
4. 检查弹窗/下拉/按钮在三种浏览器下展示一致
5. 检查C端邀请页兼容性</t>
  </si>
  <si>
    <t>三种浏览器下功能正常；UI展示一致无错位；弹窗和下拉正常；C端邀请页展示一致</t>
  </si>
  <si>
    <t>三种浏览器下功能正常；UI展示一致无错位；弹窗和下拉正常；C端邀请页展示一致无错位</t>
  </si>
  <si>
    <t>INV-COMP-002</t>
  </si>
  <si>
    <t>窄屏与移动端适配</t>
  </si>
  <si>
    <t>后台管理页面在窄屏和C端在移动端</t>
  </si>
  <si>
    <t>1. 后台页面在1366x768分辨率下操作
2. 后台页面在1024x768下操作
3. C端邀请页在375px(iPhone)下查看
4. C端在320px下查看
5. 检查横向滚动和布局错位</t>
  </si>
  <si>
    <t>后台窄屏下配置页可用无严重错位；C端移动端布局正常；超窄屏(320px)关键信息可见；无横向滚动溢出</t>
  </si>
  <si>
    <t>INV-COMP-003</t>
  </si>
  <si>
    <t>大量券选择的保存性能</t>
  </si>
  <si>
    <t>系统中有100张进行中的优惠券</t>
  </si>
  <si>
    <t>1. 打开券选择弹窗加载100张券
2. 查看加载时间
3. 选择20张券并保存
4. 查看保存响应时间
5. 查看已选券列表渲染性能</t>
  </si>
  <si>
    <t>100张券加载在2秒内；选择20张保存在3秒内；已选券列表渲染流畅无卡顿；无前端超时或后端超时</t>
  </si>
  <si>
    <t>1.暂不支持批量执行
2.手动执行加载无异常，无卡顿超时情况</t>
  </si>
  <si>
    <t>INV-COMP-004</t>
  </si>
  <si>
    <t>开关切换1秒防抖机制</t>
  </si>
  <si>
    <t>已有配置，切换开关</t>
  </si>
  <si>
    <t>1. 从关闭切换到开启，记录响应时间
2. 立即在1秒内再次点击切换
3. 查看第二次点击是否被防抖拦截
4. 等待1秒后再次点击
5. 查看是否正常响应
6. 连续快速切换3次验证防抖</t>
  </si>
  <si>
    <t>已确认规则:开关切换在一秒内无法重复点击；1秒内第二次点击被防抖拦截不发送请求；1秒后可正常切换；防抖机制前后端一致；切换后状态正确</t>
  </si>
  <si>
    <t>点击开关会有弹窗确认，无法重复点击按钮</t>
  </si>
  <si>
    <t>INV-COMP-005</t>
  </si>
  <si>
    <t>历史配置数据兼容</t>
  </si>
  <si>
    <t>从1.0版本升级到2.0，存在历史配置数据</t>
  </si>
  <si>
    <t>1. 升级前查看1.0版本配置
2. 升级到2.0后查看配置是否保留
3. 查看历史发放记录是否兼容
4. 查看字段映射是否正确
5. 查看历史券是否正常展示</t>
  </si>
  <si>
    <t>升级后历史配置保留不丢失；历史发放记录兼容可查；字段映射正确；历史券展示正常</t>
  </si>
  <si>
    <t>历史数据全部删除，不保留在新版本中</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</si>
</sst>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9">
    <font>
      <sz val="11"/>
      <color theme="1"/>
      <name val="Noto Sans SC"/>
      <charset val="134"/>
    </font>
    <font>
      <b/>
      <sz val="14"/>
      <color rgb="FF1F2937"/>
      <name val="微软雅黑"/>
      <charset val="1"/>
    </font>
    <font>
      <b/>
      <sz val="11"/>
      <color rgb="FFFFFFFF"/>
      <name val="微软雅黑"/>
      <charset val="1"/>
    </font>
    <font>
      <b/>
      <sz val="10"/>
      <color rgb="FF1F2937"/>
      <name val="微软雅黑"/>
      <charset val="1"/>
    </font>
    <font>
      <sz val="10"/>
      <name val="微软雅黑"/>
      <charset val="1"/>
    </font>
    <font>
      <sz val="10"/>
      <color rgb="FF6B7280"/>
      <name val="微软雅黑"/>
      <charset val="1"/>
    </font>
    <font>
      <b/>
      <sz val="10"/>
      <color rgb="FF00B050"/>
      <name val="微软雅黑"/>
      <charset val="1"/>
    </font>
    <font>
      <sz val="10"/>
      <color rgb="FF2563EB"/>
      <name val="微软雅黑"/>
      <charset val="1"/>
    </font>
    <font>
      <b/>
      <sz val="10"/>
      <color rgb="FFEA580C"/>
      <name val="微软雅黑"/>
      <charset val="1"/>
    </font>
    <font>
      <b/>
      <sz val="10"/>
      <color rgb="FFDC2626"/>
      <name val="微软雅黑"/>
      <charset val="1"/>
    </font>
    <font>
      <sz val="10"/>
      <color rgb="FF000000"/>
      <name val="微软雅黑"/>
      <charset val="134"/>
    </font>
    <font>
      <sz val="10"/>
      <color rgb="FF2563EB"/>
      <name val="微软雅黑"/>
      <charset val="134"/>
    </font>
    <font>
      <sz val="10"/>
      <color rgb="FF6B7280"/>
      <name val="微软雅黑"/>
      <charset val="134"/>
    </font>
    <font>
      <b/>
      <sz val="10"/>
      <color rgb="FFFF0000"/>
      <name val="微软雅黑"/>
      <charset val="1"/>
    </font>
    <font>
      <b/>
      <sz val="10"/>
      <color rgb="FFEA580C"/>
      <name val="微软雅黑"/>
      <charset val="134"/>
    </font>
    <font>
      <b/>
      <sz val="10"/>
      <color rgb="FF00B050"/>
      <name val="Noto Sans SC"/>
      <charset val="1"/>
    </font>
    <font>
      <b/>
      <sz val="11"/>
      <color rgb="FF1F2937"/>
      <name val="微软雅黑"/>
      <charset val="1"/>
    </font>
    <font>
      <sz val="10"/>
      <color rgb="FF9CA3AF"/>
      <name val="微软雅黑"/>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4472C4"/>
        <bgColor rgb="FF2563EB"/>
      </patternFill>
    </fill>
    <fill>
      <patternFill patternType="solid">
        <fgColor rgb="FFFFFFFF"/>
        <bgColor rgb="FFF7F9FC"/>
      </patternFill>
    </fill>
    <fill>
      <patternFill patternType="solid">
        <fgColor rgb="FFF7F9FC"/>
        <bgColor rgb="FFFFFFFF"/>
      </patternFill>
    </fill>
    <fill>
      <patternFill patternType="solid">
        <fgColor rgb="FFF7F9FC"/>
        <bgColor indexed="64"/>
      </patternFill>
    </fill>
    <fill>
      <patternFill patternType="solid">
        <fgColor rgb="FFFFFFFF"/>
        <bgColor indexed="64"/>
      </patternFill>
    </fill>
    <fill>
      <patternFill patternType="solid">
        <fgColor rgb="FFEAF2FF"/>
        <bgColor rgb="FFF7F9F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D9DEE7"/>
      </left>
      <right style="thin">
        <color rgb="FFD9DEE7"/>
      </right>
      <top style="thin">
        <color rgb="FFD9DEE7"/>
      </top>
      <bottom style="thin">
        <color rgb="FFD9DEE7"/>
      </bottom>
      <diagonal/>
    </border>
    <border>
      <left/>
      <right/>
      <top style="thin">
        <color rgb="FFD9DEE7"/>
      </top>
      <bottom style="thin">
        <color rgb="FFD9DEE7"/>
      </bottom>
      <diagonal/>
    </border>
    <border>
      <left/>
      <right style="thin">
        <color rgb="FFD9DEE7"/>
      </right>
      <top style="thin">
        <color rgb="FFD9DEE7"/>
      </top>
      <bottom style="thin">
        <color rgb="FFD9DEE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8" fillId="0" borderId="0"/>
    <xf numFmtId="44" fontId="18" fillId="0" borderId="0"/>
    <xf numFmtId="9" fontId="18" fillId="0" borderId="0"/>
    <xf numFmtId="41" fontId="18" fillId="0" borderId="0"/>
    <xf numFmtId="42" fontId="18" fillId="0" borderId="0"/>
    <xf numFmtId="0" fontId="19" fillId="0" borderId="0">
      <alignment vertical="center"/>
    </xf>
    <xf numFmtId="0" fontId="20" fillId="0" borderId="0">
      <alignment vertical="center"/>
    </xf>
    <xf numFmtId="0" fontId="21" fillId="8" borderId="4">
      <alignment vertical="center"/>
    </xf>
    <xf numFmtId="0" fontId="22" fillId="0" borderId="0">
      <alignment vertical="center"/>
    </xf>
    <xf numFmtId="0" fontId="23" fillId="0" borderId="0">
      <alignment vertical="center"/>
    </xf>
    <xf numFmtId="0" fontId="24" fillId="0" borderId="0">
      <alignment vertical="center"/>
    </xf>
    <xf numFmtId="0" fontId="25" fillId="0" borderId="5">
      <alignment vertical="center"/>
    </xf>
    <xf numFmtId="0" fontId="26" fillId="0" borderId="5">
      <alignment vertical="center"/>
    </xf>
    <xf numFmtId="0" fontId="27" fillId="0" borderId="6">
      <alignment vertical="center"/>
    </xf>
    <xf numFmtId="0" fontId="27" fillId="0" borderId="0">
      <alignment vertical="center"/>
    </xf>
    <xf numFmtId="0" fontId="28" fillId="9" borderId="7">
      <alignment vertical="center"/>
    </xf>
    <xf numFmtId="0" fontId="29" fillId="10" borderId="8">
      <alignment vertical="center"/>
    </xf>
    <xf numFmtId="0" fontId="30" fillId="10" borderId="7">
      <alignment vertical="center"/>
    </xf>
    <xf numFmtId="0" fontId="31" fillId="11" borderId="9">
      <alignment vertical="center"/>
    </xf>
    <xf numFmtId="0" fontId="32" fillId="0" borderId="10">
      <alignment vertical="center"/>
    </xf>
    <xf numFmtId="0" fontId="33" fillId="0" borderId="11">
      <alignment vertical="center"/>
    </xf>
    <xf numFmtId="0" fontId="34" fillId="12" borderId="0">
      <alignment vertical="center"/>
    </xf>
    <xf numFmtId="0" fontId="35" fillId="13" borderId="0">
      <alignment vertical="center"/>
    </xf>
    <xf numFmtId="0" fontId="36" fillId="14" borderId="0">
      <alignment vertical="center"/>
    </xf>
    <xf numFmtId="0" fontId="37" fillId="15" borderId="0">
      <alignment vertical="center"/>
    </xf>
    <xf numFmtId="0" fontId="38" fillId="16" borderId="0">
      <alignment vertical="center"/>
    </xf>
    <xf numFmtId="0" fontId="38" fillId="17" borderId="0">
      <alignment vertical="center"/>
    </xf>
    <xf numFmtId="0" fontId="37" fillId="18" borderId="0">
      <alignment vertical="center"/>
    </xf>
    <xf numFmtId="0" fontId="37" fillId="19" borderId="0">
      <alignment vertical="center"/>
    </xf>
    <xf numFmtId="0" fontId="38" fillId="20" borderId="0">
      <alignment vertical="center"/>
    </xf>
    <xf numFmtId="0" fontId="38" fillId="21" borderId="0">
      <alignment vertical="center"/>
    </xf>
    <xf numFmtId="0" fontId="37" fillId="22" borderId="0">
      <alignment vertical="center"/>
    </xf>
    <xf numFmtId="0" fontId="37" fillId="23" borderId="0">
      <alignment vertical="center"/>
    </xf>
    <xf numFmtId="0" fontId="38" fillId="24" borderId="0">
      <alignment vertical="center"/>
    </xf>
    <xf numFmtId="0" fontId="38" fillId="25" borderId="0">
      <alignment vertical="center"/>
    </xf>
    <xf numFmtId="0" fontId="37" fillId="26" borderId="0">
      <alignment vertical="center"/>
    </xf>
    <xf numFmtId="0" fontId="37" fillId="27" borderId="0">
      <alignment vertical="center"/>
    </xf>
    <xf numFmtId="0" fontId="38" fillId="28" borderId="0">
      <alignment vertical="center"/>
    </xf>
    <xf numFmtId="0" fontId="38" fillId="29" borderId="0">
      <alignment vertical="center"/>
    </xf>
    <xf numFmtId="0" fontId="37" fillId="30" borderId="0">
      <alignment vertical="center"/>
    </xf>
    <xf numFmtId="0" fontId="37" fillId="31" borderId="0">
      <alignment vertical="center"/>
    </xf>
    <xf numFmtId="0" fontId="38" fillId="32" borderId="0">
      <alignment vertical="center"/>
    </xf>
    <xf numFmtId="0" fontId="38" fillId="33" borderId="0">
      <alignment vertical="center"/>
    </xf>
    <xf numFmtId="0" fontId="37" fillId="34" borderId="0">
      <alignment vertical="center"/>
    </xf>
    <xf numFmtId="0" fontId="37" fillId="35" borderId="0">
      <alignment vertical="center"/>
    </xf>
    <xf numFmtId="0" fontId="38" fillId="36" borderId="0">
      <alignment vertical="center"/>
    </xf>
    <xf numFmtId="0" fontId="38" fillId="37" borderId="0">
      <alignment vertical="center"/>
    </xf>
    <xf numFmtId="0" fontId="37" fillId="38" borderId="0">
      <alignment vertical="center"/>
    </xf>
  </cellStyleXfs>
  <cellXfs count="39">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3"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5"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10" fillId="5" borderId="1" xfId="0" applyFont="1" applyFill="1" applyBorder="1" applyAlignment="1">
      <alignment horizontal="left" vertical="top" wrapText="1"/>
    </xf>
    <xf numFmtId="0" fontId="11" fillId="5" borderId="1" xfId="0" applyFont="1" applyFill="1" applyBorder="1" applyAlignment="1">
      <alignment horizontal="center" vertical="center" wrapText="1"/>
    </xf>
    <xf numFmtId="0" fontId="10" fillId="6" borderId="1" xfId="0" applyFont="1" applyFill="1" applyBorder="1" applyAlignment="1">
      <alignment horizontal="left" vertical="top" wrapText="1"/>
    </xf>
    <xf numFmtId="0" fontId="11" fillId="6"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16" fillId="0" borderId="0" xfId="0" applyFont="1"/>
    <xf numFmtId="0" fontId="9" fillId="0" borderId="1" xfId="0" applyFont="1" applyBorder="1" applyAlignment="1">
      <alignment horizontal="left" vertical="center" wrapText="1"/>
    </xf>
    <xf numFmtId="0" fontId="4" fillId="0" borderId="1" xfId="0" applyFont="1" applyBorder="1" applyAlignment="1">
      <alignment horizontal="left" vertical="top" wrapText="1"/>
    </xf>
    <xf numFmtId="0" fontId="0" fillId="0" borderId="2" xfId="0" applyBorder="1"/>
    <xf numFmtId="0" fontId="0" fillId="0" borderId="3" xfId="0" applyBorder="1"/>
    <xf numFmtId="0" fontId="8" fillId="0" borderId="1" xfId="0" applyFont="1" applyBorder="1" applyAlignment="1">
      <alignment horizontal="left" vertical="center" wrapText="1"/>
    </xf>
    <xf numFmtId="0" fontId="7" fillId="0" borderId="1" xfId="0" applyFont="1" applyBorder="1" applyAlignment="1">
      <alignment horizontal="left" vertical="center" wrapText="1"/>
    </xf>
    <xf numFmtId="0" fontId="5" fillId="0" borderId="1" xfId="0" applyFont="1" applyBorder="1" applyAlignment="1">
      <alignment horizontal="left" vertical="center" wrapText="1"/>
    </xf>
    <xf numFmtId="0" fontId="17" fillId="0" borderId="1" xfId="0" applyFont="1" applyBorder="1" applyAlignment="1">
      <alignment horizontal="left" vertical="center" wrapText="1"/>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16" fillId="7"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7F9FC"/>
      <rgbColor rgb="00EAF2FF"/>
      <rgbColor rgb="00660066"/>
      <rgbColor rgb="00FF8080"/>
      <rgbColor rgb="004472C4"/>
      <rgbColor rgb="00D9DEE7"/>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2563EB"/>
      <rgbColor rgb="0033CCCC"/>
      <rgbColor rgb="0099CC00"/>
      <rgbColor rgb="00FFCC00"/>
      <rgbColor rgb="00FF9900"/>
      <rgbColor rgb="00EA580C"/>
      <rgbColor rgb="006B7280"/>
      <rgbColor rgb="009CA3AF"/>
      <rgbColor rgb="00003366"/>
      <rgbColor rgb="00339966"/>
      <rgbColor rgb="00003300"/>
      <rgbColor rgb="00333300"/>
      <rgbColor rgb="00993300"/>
      <rgbColor rgb="00993366"/>
      <rgbColor rgb="00333399"/>
      <rgbColor rgb="00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10</xdr:col>
      <xdr:colOff>1690</xdr:colOff>
      <xdr:row>23</xdr:row>
      <xdr:rowOff>189700</xdr:rowOff>
    </xdr:from>
    <xdr:to>
      <xdr:col>13</xdr:col>
      <xdr:colOff>397655</xdr:colOff>
      <xdr:row>25</xdr:row>
      <xdr:rowOff>82500</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panose="020B0604020202020204"/>
              <a:ea typeface="宋体" panose="02010600030101010101" pitchFamily="7" charset="-122"/>
            </a:rPr>
            <a:t>AI 生成</a:t>
          </a: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absolute">
    <xdr:from>
      <xdr:col>3</xdr:col>
      <xdr:colOff>2223555</xdr:colOff>
      <xdr:row>11</xdr:row>
      <xdr:rowOff>494500</xdr:rowOff>
    </xdr:from>
    <xdr:to>
      <xdr:col>7</xdr:col>
      <xdr:colOff>78250</xdr:colOff>
      <xdr:row>12</xdr:row>
      <xdr:rowOff>215850</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panose="020B0604020202020204"/>
              <a:ea typeface="宋体" panose="02010600030101010101" pitchFamily="7" charset="-122"/>
            </a:rPr>
            <a:t>AI 生成</a:t>
          </a: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5</xdr:col>
      <xdr:colOff>421425</xdr:colOff>
      <xdr:row>6</xdr:row>
      <xdr:rowOff>846925</xdr:rowOff>
    </xdr:from>
    <xdr:to>
      <xdr:col>5</xdr:col>
      <xdr:colOff>2621425</xdr:colOff>
      <xdr:row>6</xdr:row>
      <xdr:rowOff>1196925</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absolute">
    <xdr:from>
      <xdr:col>5</xdr:col>
      <xdr:colOff>421425</xdr:colOff>
      <xdr:row>6</xdr:row>
      <xdr:rowOff>846925</xdr:rowOff>
    </xdr:from>
    <xdr:to>
      <xdr:col>5</xdr:col>
      <xdr:colOff>2621425</xdr:colOff>
      <xdr:row>6</xdr:row>
      <xdr:rowOff>1196925</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panose="020B0604020202020204"/>
              <a:ea typeface="宋体" panose="02010600030101010101" pitchFamily="7" charset="-122"/>
            </a:rPr>
            <a:t>AI 生成</a:t>
          </a: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absolute">
    <xdr:from>
      <xdr:col>5</xdr:col>
      <xdr:colOff>421425</xdr:colOff>
      <xdr:row>6</xdr:row>
      <xdr:rowOff>846925</xdr:rowOff>
    </xdr:from>
    <xdr:to>
      <xdr:col>5</xdr:col>
      <xdr:colOff>2621425</xdr:colOff>
      <xdr:row>6</xdr:row>
      <xdr:rowOff>1196925</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panose="020B0604020202020204"/>
              <a:ea typeface="宋体" panose="02010600030101010101" pitchFamily="7" charset="-122"/>
            </a:rPr>
            <a:t>AI 生成</a:t>
          </a: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absolute">
    <xdr:from>
      <xdr:col>5</xdr:col>
      <xdr:colOff>421425</xdr:colOff>
      <xdr:row>6</xdr:row>
      <xdr:rowOff>846925</xdr:rowOff>
    </xdr:from>
    <xdr:to>
      <xdr:col>5</xdr:col>
      <xdr:colOff>2621425</xdr:colOff>
      <xdr:row>6</xdr:row>
      <xdr:rowOff>1196925</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absolute">
    <xdr:from>
      <xdr:col>5</xdr:col>
      <xdr:colOff>421425</xdr:colOff>
      <xdr:row>6</xdr:row>
      <xdr:rowOff>846925</xdr:rowOff>
    </xdr:from>
    <xdr:to>
      <xdr:col>5</xdr:col>
      <xdr:colOff>2621425</xdr:colOff>
      <xdr:row>6</xdr:row>
      <xdr:rowOff>1196925</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absolute">
    <xdr:from>
      <xdr:col>5</xdr:col>
      <xdr:colOff>421425</xdr:colOff>
      <xdr:row>6</xdr:row>
      <xdr:rowOff>846925</xdr:rowOff>
    </xdr:from>
    <xdr:to>
      <xdr:col>5</xdr:col>
      <xdr:colOff>2621425</xdr:colOff>
      <xdr:row>6</xdr:row>
      <xdr:rowOff>1196925</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absolute">
    <xdr:from>
      <xdr:col>5</xdr:col>
      <xdr:colOff>421425</xdr:colOff>
      <xdr:row>6</xdr:row>
      <xdr:rowOff>802475</xdr:rowOff>
    </xdr:from>
    <xdr:to>
      <xdr:col>5</xdr:col>
      <xdr:colOff>2621425</xdr:colOff>
      <xdr:row>6</xdr:row>
      <xdr:rowOff>1152475</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absolute">
    <xdr:from>
      <xdr:col>5</xdr:col>
      <xdr:colOff>421425</xdr:colOff>
      <xdr:row>6</xdr:row>
      <xdr:rowOff>846925</xdr:rowOff>
    </xdr:from>
    <xdr:to>
      <xdr:col>5</xdr:col>
      <xdr:colOff>2621425</xdr:colOff>
      <xdr:row>6</xdr:row>
      <xdr:rowOff>1196925</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
  <sheetViews>
    <sheetView topLeftCell="A3" workbookViewId="0">
      <selection activeCell="H21" sqref="H21"/>
    </sheetView>
  </sheetViews>
  <sheetFormatPr defaultColWidth="7.89166666666667" defaultRowHeight="18" outlineLevelCol="6"/>
  <cols>
    <col min="1" max="1" width="21.8416666666667" customWidth="1"/>
    <col min="2" max="7" width="7.28333333333333" customWidth="1"/>
  </cols>
  <sheetData>
    <row r="1" ht="31.5" customHeight="1" spans="1:7">
      <c r="A1" s="1" t="s">
        <v>0</v>
      </c>
    </row>
    <row r="2" ht="9.75" customHeight="1"/>
    <row r="3" spans="1:7">
      <c r="A3" s="27" t="s">
        <v>1</v>
      </c>
    </row>
    <row r="4" ht="21.75" customHeight="1" spans="1:7">
      <c r="A4" s="28" t="s">
        <v>2</v>
      </c>
      <c r="B4" s="29" t="s">
        <v>3</v>
      </c>
      <c r="C4" s="30"/>
      <c r="D4" s="30"/>
      <c r="E4" s="30"/>
      <c r="F4" s="30"/>
      <c r="G4" s="31"/>
    </row>
    <row r="5" ht="21.75" customHeight="1" spans="1:7">
      <c r="A5" s="32" t="s">
        <v>4</v>
      </c>
      <c r="B5" s="29" t="s">
        <v>5</v>
      </c>
      <c r="C5" s="30"/>
      <c r="D5" s="30"/>
      <c r="E5" s="30"/>
      <c r="F5" s="30"/>
      <c r="G5" s="31"/>
    </row>
    <row r="6" ht="21.75" customHeight="1" spans="1:7">
      <c r="A6" s="33" t="s">
        <v>6</v>
      </c>
      <c r="B6" s="29" t="s">
        <v>7</v>
      </c>
      <c r="C6" s="30"/>
      <c r="D6" s="30"/>
      <c r="E6" s="30"/>
      <c r="F6" s="30"/>
      <c r="G6" s="31"/>
    </row>
    <row r="7" ht="21.75" customHeight="1" spans="1:7">
      <c r="A7" s="34" t="s">
        <v>8</v>
      </c>
      <c r="B7" s="29" t="s">
        <v>9</v>
      </c>
      <c r="C7" s="30"/>
      <c r="D7" s="30"/>
      <c r="E7" s="30"/>
      <c r="F7" s="30"/>
      <c r="G7" s="31"/>
    </row>
    <row r="8" ht="21.75" customHeight="1" spans="1:7">
      <c r="A8" s="35" t="s">
        <v>10</v>
      </c>
      <c r="B8" s="29" t="s">
        <v>11</v>
      </c>
      <c r="C8" s="30"/>
      <c r="D8" s="30"/>
      <c r="E8" s="30"/>
      <c r="F8" s="30"/>
      <c r="G8" s="31"/>
    </row>
    <row r="9" ht="9.75" customHeight="1"/>
    <row r="10" ht="9.75" customHeight="1"/>
    <row r="11" ht="27.75" customHeight="1" spans="1:7">
      <c r="A11" s="2" t="s">
        <v>12</v>
      </c>
      <c r="B11" s="2" t="s">
        <v>13</v>
      </c>
      <c r="C11" s="2" t="s">
        <v>14</v>
      </c>
      <c r="D11" s="2" t="s">
        <v>15</v>
      </c>
      <c r="E11" s="2" t="s">
        <v>16</v>
      </c>
      <c r="F11" s="2" t="s">
        <v>17</v>
      </c>
      <c r="G11" s="2" t="s">
        <v>18</v>
      </c>
    </row>
    <row r="12" ht="24" customHeight="1" spans="1:7">
      <c r="A12" s="4" t="s">
        <v>19</v>
      </c>
      <c r="B12" s="36">
        <f>COUNTA(开关机制与防回溯!A3:A200)</f>
        <v>6</v>
      </c>
      <c r="C12" s="36">
        <f>COUNTIF(开关机制与防回溯!C3:C200,"P1")</f>
        <v>2</v>
      </c>
      <c r="D12" s="36">
        <f>COUNTIF(开关机制与防回溯!C3:C200,"P2")</f>
        <v>4</v>
      </c>
      <c r="E12" s="36">
        <f>COUNTIF(开关机制与防回溯!C3:C200,"P3")</f>
        <v>0</v>
      </c>
      <c r="F12" s="36">
        <f>COUNTIF(开关机制与防回溯!C3:C200,"P4")</f>
        <v>0</v>
      </c>
      <c r="G12" s="36">
        <f>COUNTIF(开关机制与防回溯!C3:C200,"P5")</f>
        <v>0</v>
      </c>
    </row>
    <row r="13" ht="24" customHeight="1" spans="1:7">
      <c r="A13" s="8" t="s">
        <v>20</v>
      </c>
      <c r="B13" s="37">
        <f>COUNTA(奖励配置与券选择!A3:A200)</f>
        <v>9</v>
      </c>
      <c r="C13" s="37">
        <f>COUNTIF(奖励配置与券选择!C3:C200,"P1")</f>
        <v>0</v>
      </c>
      <c r="D13" s="37">
        <f>COUNTIF(奖励配置与券选择!C3:C200,"P2")</f>
        <v>5</v>
      </c>
      <c r="E13" s="37">
        <f>COUNTIF(奖励配置与券选择!C3:C200,"P3")</f>
        <v>4</v>
      </c>
      <c r="F13" s="37">
        <f>COUNTIF(奖励配置与券选择!C3:C200,"P4")</f>
        <v>0</v>
      </c>
      <c r="G13" s="37">
        <f>COUNTIF(奖励配置与券选择!C3:C200,"P5")</f>
        <v>0</v>
      </c>
    </row>
    <row r="14" ht="24" customHeight="1" spans="1:7">
      <c r="A14" s="4" t="s">
        <v>21</v>
      </c>
      <c r="B14" s="36">
        <f>COUNTA(次数限制与触发条件!A3:A200)</f>
        <v>9</v>
      </c>
      <c r="C14" s="36">
        <f>COUNTIF(次数限制与触发条件!C3:C200,"P1")</f>
        <v>1</v>
      </c>
      <c r="D14" s="36">
        <f>COUNTIF(次数限制与触发条件!C3:C200,"P2")</f>
        <v>5</v>
      </c>
      <c r="E14" s="36">
        <f>COUNTIF(次数限制与触发条件!C3:C200,"P3")</f>
        <v>3</v>
      </c>
      <c r="F14" s="36">
        <f>COUNTIF(次数限制与触发条件!C3:C200,"P4")</f>
        <v>0</v>
      </c>
      <c r="G14" s="36">
        <f>COUNTIF(次数限制与触发条件!C3:C200,"P5")</f>
        <v>0</v>
      </c>
    </row>
    <row r="15" ht="24" customHeight="1" spans="1:7">
      <c r="A15" s="8" t="s">
        <v>22</v>
      </c>
      <c r="B15" s="37">
        <f>COUNTA(券发放与回退链路!A3:A200)</f>
        <v>11</v>
      </c>
      <c r="C15" s="37">
        <f>COUNTIF(券发放与回退链路!C3:C200,"P1")</f>
        <v>2</v>
      </c>
      <c r="D15" s="37">
        <f>COUNTIF(券发放与回退链路!C3:C200,"P2")</f>
        <v>7</v>
      </c>
      <c r="E15" s="37">
        <f>COUNTIF(券发放与回退链路!C3:C200,"P3")</f>
        <v>2</v>
      </c>
      <c r="F15" s="37">
        <f>COUNTIF(券发放与回退链路!C3:C200,"P4")</f>
        <v>0</v>
      </c>
      <c r="G15" s="37">
        <f>COUNTIF(券发放与回退链路!C3:C200,"P5")</f>
        <v>0</v>
      </c>
    </row>
    <row r="16" ht="24" customHeight="1" spans="1:7">
      <c r="A16" s="4" t="s">
        <v>23</v>
      </c>
      <c r="B16" s="36">
        <f>COUNTA(并发一致性与异常容错!A3:A200)</f>
        <v>6</v>
      </c>
      <c r="C16" s="36">
        <f>COUNTIF(并发一致性与异常容错!C3:C200,"P1")</f>
        <v>0</v>
      </c>
      <c r="D16" s="36">
        <f>COUNTIF(并发一致性与异常容错!C3:C200,"P2")</f>
        <v>6</v>
      </c>
      <c r="E16" s="36">
        <f>COUNTIF(并发一致性与异常容错!C3:C200,"P3")</f>
        <v>0</v>
      </c>
      <c r="F16" s="36">
        <f>COUNTIF(并发一致性与异常容错!C3:C200,"P4")</f>
        <v>0</v>
      </c>
      <c r="G16" s="36">
        <f>COUNTIF(并发一致性与异常容错!C3:C200,"P5")</f>
        <v>0</v>
      </c>
    </row>
    <row r="17" ht="24" customHeight="1" spans="1:7">
      <c r="A17" s="8" t="s">
        <v>24</v>
      </c>
      <c r="B17" s="37">
        <f>COUNTA(C端展示与可见性!A3:A200)</f>
        <v>8</v>
      </c>
      <c r="C17" s="37">
        <f>COUNTIF(C端展示与可见性!C3:C200,"P1")</f>
        <v>0</v>
      </c>
      <c r="D17" s="37">
        <f>COUNTIF(C端展示与可见性!C3:C200,"P2")</f>
        <v>0</v>
      </c>
      <c r="E17" s="37">
        <f>COUNTIF(C端展示与可见性!C3:C200,"P3")</f>
        <v>6</v>
      </c>
      <c r="F17" s="37">
        <f>COUNTIF(C端展示与可见性!C3:C200,"P4")</f>
        <v>2</v>
      </c>
      <c r="G17" s="37">
        <f>COUNTIF(C端展示与可见性!C3:C200,"P5")</f>
        <v>0</v>
      </c>
    </row>
    <row r="18" ht="24" customHeight="1" spans="1:7">
      <c r="A18" s="4" t="s">
        <v>25</v>
      </c>
      <c r="B18" s="36">
        <f>COUNTA(权限审计与安全!A3:A200)</f>
        <v>5</v>
      </c>
      <c r="C18" s="36">
        <f>COUNTIF(权限审计与安全!C3:C200,"P1")</f>
        <v>1</v>
      </c>
      <c r="D18" s="36">
        <f>COUNTIF(权限审计与安全!C3:C200,"P2")</f>
        <v>2</v>
      </c>
      <c r="E18" s="36">
        <f>COUNTIF(权限审计与安全!C3:C200,"P3")</f>
        <v>2</v>
      </c>
      <c r="F18" s="36">
        <f>COUNTIF(权限审计与安全!C3:C200,"P4")</f>
        <v>0</v>
      </c>
      <c r="G18" s="36">
        <f>COUNTIF(权限审计与安全!C3:C200,"P5")</f>
        <v>0</v>
      </c>
    </row>
    <row r="19" ht="24" customHeight="1" spans="1:7">
      <c r="A19" s="8" t="s">
        <v>26</v>
      </c>
      <c r="B19" s="37">
        <f>COUNTA(兼容性与回归!A3:A200)</f>
        <v>5</v>
      </c>
      <c r="C19" s="37">
        <f>COUNTIF(兼容性与回归!C3:C200,"P1")</f>
        <v>0</v>
      </c>
      <c r="D19" s="37">
        <f>COUNTIF(兼容性与回归!C3:C200,"P2")</f>
        <v>0</v>
      </c>
      <c r="E19" s="37">
        <f>COUNTIF(兼容性与回归!C3:C200,"P3")</f>
        <v>1</v>
      </c>
      <c r="F19" s="37">
        <f>COUNTIF(兼容性与回归!C3:C200,"P4")</f>
        <v>4</v>
      </c>
      <c r="G19" s="37">
        <f>COUNTIF(兼容性与回归!C3:C200,"P5")</f>
        <v>0</v>
      </c>
    </row>
    <row r="20" ht="27.75" customHeight="1" spans="1:7">
      <c r="A20" s="38" t="s">
        <v>27</v>
      </c>
      <c r="B20" s="38">
        <f t="shared" ref="B20:G20" si="0">SUM(B12:B19)</f>
        <v>59</v>
      </c>
      <c r="C20" s="38">
        <f t="shared" si="0"/>
        <v>6</v>
      </c>
      <c r="D20" s="38">
        <f t="shared" si="0"/>
        <v>29</v>
      </c>
      <c r="E20" s="38">
        <f t="shared" si="0"/>
        <v>18</v>
      </c>
      <c r="F20" s="38">
        <f t="shared" si="0"/>
        <v>6</v>
      </c>
      <c r="G20" s="38">
        <f t="shared" si="0"/>
        <v>0</v>
      </c>
    </row>
  </sheetData>
  <mergeCells count="6">
    <mergeCell ref="A1:G1"/>
    <mergeCell ref="B4:G4"/>
    <mergeCell ref="B5:G5"/>
    <mergeCell ref="B6:G6"/>
    <mergeCell ref="B7:G7"/>
    <mergeCell ref="B8:G8"/>
  </mergeCells>
  <pageMargins left="0.75" right="0.75" top="1" bottom="1" header="0.511811023622047" footer="0.511811023622047"/>
  <pageSetup paperSize="9" orientation="portrait" horizontalDpi="300" verticalDpi="3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
  <sheetViews>
    <sheetView topLeftCell="A3" workbookViewId="0">
      <selection activeCell="G4" sqref="G4"/>
    </sheetView>
  </sheetViews>
  <sheetFormatPr defaultColWidth="7.89166666666667" defaultRowHeight="18" outlineLevelCol="5"/>
  <cols>
    <col min="1" max="1" width="7.28333333333333" customWidth="1"/>
    <col min="2" max="2" width="16.3833333333333" customWidth="1"/>
    <col min="3" max="3" width="36.3916666666667" customWidth="1"/>
    <col min="4" max="4" width="34.5666666666667" customWidth="1"/>
    <col min="5" max="6" width="7.28333333333333" customWidth="1"/>
  </cols>
  <sheetData>
    <row r="1" ht="31.5" customHeight="1" spans="1:6">
      <c r="A1" s="1" t="s">
        <v>28</v>
      </c>
    </row>
    <row r="2" ht="9.75" customHeight="1"/>
    <row r="3" ht="27.75" customHeight="1" spans="1:6">
      <c r="A3" s="2" t="s">
        <v>29</v>
      </c>
      <c r="B3" s="2" t="s">
        <v>30</v>
      </c>
      <c r="C3" s="2" t="s">
        <v>31</v>
      </c>
      <c r="D3" s="2" t="s">
        <v>32</v>
      </c>
      <c r="E3" s="2" t="s">
        <v>33</v>
      </c>
      <c r="F3" s="2" t="s">
        <v>34</v>
      </c>
    </row>
    <row r="4" ht="49.5" customHeight="1" spans="1:6">
      <c r="A4" s="4" t="s">
        <v>35</v>
      </c>
      <c r="B4" s="4" t="s">
        <v>36</v>
      </c>
      <c r="C4" s="4" t="s">
        <v>37</v>
      </c>
      <c r="D4" s="4" t="s">
        <v>38</v>
      </c>
      <c r="E4" s="12" t="s">
        <v>15</v>
      </c>
      <c r="F4" s="4" t="s">
        <v>39</v>
      </c>
    </row>
    <row r="5" ht="49.5" customHeight="1" spans="1:6">
      <c r="A5" s="8" t="s">
        <v>40</v>
      </c>
      <c r="B5" s="8" t="s">
        <v>41</v>
      </c>
      <c r="C5" s="8" t="s">
        <v>42</v>
      </c>
      <c r="D5" s="8" t="s">
        <v>43</v>
      </c>
      <c r="E5" s="13" t="s">
        <v>15</v>
      </c>
      <c r="F5" s="8" t="s">
        <v>44</v>
      </c>
    </row>
    <row r="6" ht="49.5" customHeight="1" spans="1:6">
      <c r="A6" s="4" t="s">
        <v>45</v>
      </c>
      <c r="B6" s="4" t="s">
        <v>46</v>
      </c>
      <c r="C6" s="4" t="s">
        <v>47</v>
      </c>
      <c r="D6" s="4" t="s">
        <v>48</v>
      </c>
      <c r="E6" s="12" t="s">
        <v>15</v>
      </c>
      <c r="F6" s="4" t="s">
        <v>39</v>
      </c>
    </row>
    <row r="7" ht="49.5" customHeight="1" spans="1:6">
      <c r="A7" s="8" t="s">
        <v>49</v>
      </c>
      <c r="B7" s="8" t="s">
        <v>50</v>
      </c>
      <c r="C7" s="8" t="s">
        <v>51</v>
      </c>
      <c r="D7" s="8" t="s">
        <v>52</v>
      </c>
      <c r="E7" s="13" t="s">
        <v>15</v>
      </c>
      <c r="F7" s="8" t="s">
        <v>39</v>
      </c>
    </row>
    <row r="8" ht="49.5" customHeight="1" spans="1:6">
      <c r="A8" s="4" t="s">
        <v>53</v>
      </c>
      <c r="B8" s="4" t="s">
        <v>54</v>
      </c>
      <c r="C8" s="4" t="s">
        <v>55</v>
      </c>
      <c r="D8" s="4" t="s">
        <v>56</v>
      </c>
      <c r="E8" s="12" t="s">
        <v>15</v>
      </c>
      <c r="F8" s="4" t="s">
        <v>39</v>
      </c>
    </row>
    <row r="9" ht="49.5" customHeight="1" spans="1:6">
      <c r="A9" s="8" t="s">
        <v>57</v>
      </c>
      <c r="B9" s="8" t="s">
        <v>58</v>
      </c>
      <c r="C9" s="8" t="s">
        <v>59</v>
      </c>
      <c r="D9" s="8" t="s">
        <v>60</v>
      </c>
      <c r="E9" s="13" t="s">
        <v>15</v>
      </c>
      <c r="F9" s="8" t="s">
        <v>39</v>
      </c>
    </row>
    <row r="10" ht="49.5" customHeight="1" spans="1:6">
      <c r="A10" s="4" t="s">
        <v>61</v>
      </c>
      <c r="B10" s="4" t="s">
        <v>62</v>
      </c>
      <c r="C10" s="4" t="s">
        <v>63</v>
      </c>
      <c r="D10" s="4" t="s">
        <v>64</v>
      </c>
      <c r="E10" s="15" t="s">
        <v>16</v>
      </c>
      <c r="F10" s="4" t="s">
        <v>39</v>
      </c>
    </row>
    <row r="11" ht="49.5" customHeight="1" spans="1:6">
      <c r="A11" s="8" t="s">
        <v>65</v>
      </c>
      <c r="B11" s="8" t="s">
        <v>66</v>
      </c>
      <c r="C11" s="8" t="s">
        <v>67</v>
      </c>
      <c r="D11" s="8" t="s">
        <v>68</v>
      </c>
      <c r="E11" s="11" t="s">
        <v>16</v>
      </c>
      <c r="F11" s="8" t="s">
        <v>39</v>
      </c>
    </row>
    <row r="12" ht="49.5" customHeight="1" spans="1:6">
      <c r="A12" s="4" t="s">
        <v>69</v>
      </c>
      <c r="B12" s="4" t="s">
        <v>70</v>
      </c>
      <c r="C12" s="4" t="s">
        <v>71</v>
      </c>
      <c r="D12" s="4" t="s">
        <v>72</v>
      </c>
      <c r="E12" s="14" t="s">
        <v>14</v>
      </c>
      <c r="F12" s="4" t="s">
        <v>39</v>
      </c>
    </row>
    <row r="13" ht="49.5" customHeight="1" spans="1:6">
      <c r="A13" s="8" t="s">
        <v>73</v>
      </c>
      <c r="B13" s="8" t="s">
        <v>74</v>
      </c>
      <c r="C13" s="8" t="s">
        <v>75</v>
      </c>
      <c r="D13" s="8" t="s">
        <v>76</v>
      </c>
      <c r="E13" s="13" t="s">
        <v>15</v>
      </c>
      <c r="F13" s="8" t="s">
        <v>39</v>
      </c>
    </row>
    <row r="14" ht="50" customHeight="1" spans="1:6">
      <c r="A14" s="16" t="s">
        <v>77</v>
      </c>
      <c r="B14" s="16" t="s">
        <v>78</v>
      </c>
      <c r="C14" s="16" t="s">
        <v>79</v>
      </c>
      <c r="D14" s="16" t="s">
        <v>80</v>
      </c>
      <c r="E14" s="16" t="s">
        <v>15</v>
      </c>
      <c r="F14" s="16" t="s">
        <v>81</v>
      </c>
    </row>
    <row r="15" ht="50" customHeight="1" spans="1:6">
      <c r="A15" s="18" t="s">
        <v>82</v>
      </c>
      <c r="B15" s="18" t="s">
        <v>83</v>
      </c>
      <c r="C15" s="18" t="s">
        <v>84</v>
      </c>
      <c r="D15" s="18" t="s">
        <v>85</v>
      </c>
      <c r="E15" s="18" t="s">
        <v>15</v>
      </c>
      <c r="F15" s="18" t="s">
        <v>81</v>
      </c>
    </row>
    <row r="16" ht="50" customHeight="1" spans="1:6">
      <c r="A16" s="16" t="s">
        <v>86</v>
      </c>
      <c r="B16" s="16" t="s">
        <v>87</v>
      </c>
      <c r="C16" s="16" t="s">
        <v>88</v>
      </c>
      <c r="D16" s="16" t="s">
        <v>89</v>
      </c>
      <c r="E16" s="16" t="s">
        <v>15</v>
      </c>
      <c r="F16" s="16" t="s">
        <v>81</v>
      </c>
    </row>
    <row r="17" ht="50" customHeight="1" spans="1:6">
      <c r="A17" s="18" t="s">
        <v>90</v>
      </c>
      <c r="B17" s="18" t="s">
        <v>91</v>
      </c>
      <c r="C17" s="18" t="s">
        <v>92</v>
      </c>
      <c r="D17" s="18" t="s">
        <v>93</v>
      </c>
      <c r="E17" s="18" t="s">
        <v>16</v>
      </c>
      <c r="F17" s="18" t="s">
        <v>81</v>
      </c>
    </row>
    <row r="18" ht="50" customHeight="1" spans="1:6">
      <c r="A18" s="16" t="s">
        <v>94</v>
      </c>
      <c r="B18" s="16" t="s">
        <v>95</v>
      </c>
      <c r="C18" s="16" t="s">
        <v>96</v>
      </c>
      <c r="D18" s="16" t="s">
        <v>97</v>
      </c>
      <c r="E18" s="16" t="s">
        <v>16</v>
      </c>
      <c r="F18" s="16" t="s">
        <v>81</v>
      </c>
    </row>
    <row r="19" ht="50" customHeight="1" spans="1:6">
      <c r="A19" s="18" t="s">
        <v>98</v>
      </c>
      <c r="B19" s="18" t="s">
        <v>99</v>
      </c>
      <c r="C19" s="18" t="s">
        <v>100</v>
      </c>
      <c r="D19" s="18" t="s">
        <v>101</v>
      </c>
      <c r="E19" s="18" t="s">
        <v>17</v>
      </c>
      <c r="F19" s="18" t="s">
        <v>81</v>
      </c>
    </row>
  </sheetData>
  <mergeCells count="1">
    <mergeCell ref="A1:F1"/>
  </mergeCells>
  <pageMargins left="0.75" right="0.75" top="1" bottom="1" header="0.511811023622047" footer="0.511811023622047"/>
  <pageSetup paperSize="9" orientation="portrait" horizontalDpi="300" verticalDpi="300"/>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
  <sheetViews>
    <sheetView workbookViewId="0">
      <pane ySplit="2" topLeftCell="A4" activePane="bottomLeft" state="frozen"/>
      <selection/>
      <selection pane="bottomLeft" activeCell="E8" sqref="E8"/>
    </sheetView>
  </sheetViews>
  <sheetFormatPr defaultColWidth="7.89166666666667" defaultRowHeight="18" outlineLevelRow="7"/>
  <cols>
    <col min="1" max="1" width="14.5583333333333" customWidth="1"/>
    <col min="2" max="2" width="25.4666666666667" customWidth="1"/>
    <col min="3" max="3" width="7.28333333333333" customWidth="1"/>
    <col min="4" max="4" width="9.1" customWidth="1"/>
    <col min="5" max="5" width="27.3" customWidth="1"/>
    <col min="6" max="6" width="40.0333333333333" customWidth="1"/>
    <col min="7" max="7" width="41.85" customWidth="1"/>
    <col min="8" max="8" width="16.3833333333333" customWidth="1"/>
    <col min="9" max="9" width="9.1" customWidth="1"/>
  </cols>
  <sheetData>
    <row r="1" ht="31.5" customHeight="1" spans="1:9">
      <c r="A1" s="1" t="s">
        <v>102</v>
      </c>
    </row>
    <row r="2" ht="27.75" customHeight="1" spans="1:9">
      <c r="A2" s="2" t="s">
        <v>103</v>
      </c>
      <c r="B2" s="2" t="s">
        <v>104</v>
      </c>
      <c r="C2" s="2" t="s">
        <v>105</v>
      </c>
      <c r="D2" s="2" t="s">
        <v>106</v>
      </c>
      <c r="E2" s="2" t="s">
        <v>107</v>
      </c>
      <c r="F2" s="2" t="s">
        <v>108</v>
      </c>
      <c r="G2" s="2" t="s">
        <v>109</v>
      </c>
      <c r="H2" s="2" t="s">
        <v>110</v>
      </c>
      <c r="I2" s="2" t="s">
        <v>111</v>
      </c>
    </row>
    <row r="3" ht="94.5" customHeight="1" spans="1:9">
      <c r="A3" s="3" t="s">
        <v>112</v>
      </c>
      <c r="B3" s="4" t="s">
        <v>113</v>
      </c>
      <c r="C3" s="12" t="s">
        <v>15</v>
      </c>
      <c r="D3" s="4" t="s">
        <v>114</v>
      </c>
      <c r="E3" s="4" t="s">
        <v>115</v>
      </c>
      <c r="F3" s="4" t="s">
        <v>116</v>
      </c>
      <c r="G3" s="4" t="s">
        <v>117</v>
      </c>
      <c r="H3" s="4" t="s">
        <v>118</v>
      </c>
      <c r="I3" s="6" t="s">
        <v>119</v>
      </c>
    </row>
    <row r="4" ht="94.5" customHeight="1" spans="1:9">
      <c r="A4" s="7" t="s">
        <v>120</v>
      </c>
      <c r="B4" s="8" t="s">
        <v>121</v>
      </c>
      <c r="C4" s="13" t="s">
        <v>15</v>
      </c>
      <c r="D4" s="8" t="s">
        <v>114</v>
      </c>
      <c r="E4" s="8" t="s">
        <v>122</v>
      </c>
      <c r="F4" s="8" t="s">
        <v>123</v>
      </c>
      <c r="G4" s="8" t="s">
        <v>124</v>
      </c>
      <c r="H4" s="4" t="s">
        <v>118</v>
      </c>
      <c r="I4" s="10" t="s">
        <v>119</v>
      </c>
    </row>
    <row r="5" ht="94.5" customHeight="1" spans="1:9">
      <c r="A5" s="3" t="s">
        <v>125</v>
      </c>
      <c r="B5" s="4" t="s">
        <v>126</v>
      </c>
      <c r="C5" s="14" t="s">
        <v>14</v>
      </c>
      <c r="D5" s="4" t="s">
        <v>114</v>
      </c>
      <c r="E5" s="4" t="s">
        <v>127</v>
      </c>
      <c r="F5" s="4" t="s">
        <v>128</v>
      </c>
      <c r="G5" s="4" t="s">
        <v>129</v>
      </c>
      <c r="H5" s="4" t="s">
        <v>130</v>
      </c>
      <c r="I5" s="6" t="s">
        <v>119</v>
      </c>
    </row>
    <row r="6" ht="94.5" customHeight="1" spans="1:9">
      <c r="A6" s="7" t="s">
        <v>131</v>
      </c>
      <c r="B6" s="8" t="s">
        <v>132</v>
      </c>
      <c r="C6" s="26" t="s">
        <v>14</v>
      </c>
      <c r="D6" s="8" t="s">
        <v>114</v>
      </c>
      <c r="E6" s="8" t="s">
        <v>133</v>
      </c>
      <c r="F6" s="8" t="s">
        <v>134</v>
      </c>
      <c r="G6" s="8" t="s">
        <v>135</v>
      </c>
      <c r="H6" s="8" t="s">
        <v>136</v>
      </c>
      <c r="I6" s="6" t="s">
        <v>119</v>
      </c>
    </row>
    <row r="7" ht="94.5" customHeight="1" spans="1:9">
      <c r="A7" s="3" t="s">
        <v>137</v>
      </c>
      <c r="B7" s="4" t="s">
        <v>138</v>
      </c>
      <c r="C7" s="12" t="s">
        <v>15</v>
      </c>
      <c r="D7" s="4" t="s">
        <v>114</v>
      </c>
      <c r="E7" s="4" t="s">
        <v>139</v>
      </c>
      <c r="F7" s="4" t="s">
        <v>140</v>
      </c>
      <c r="G7" s="4" t="s">
        <v>141</v>
      </c>
      <c r="H7" s="4" t="s">
        <v>142</v>
      </c>
      <c r="I7" s="10" t="s">
        <v>119</v>
      </c>
    </row>
    <row r="8" ht="94.5" customHeight="1" spans="1:9">
      <c r="A8" s="7" t="s">
        <v>143</v>
      </c>
      <c r="B8" s="8" t="s">
        <v>144</v>
      </c>
      <c r="C8" s="13" t="s">
        <v>15</v>
      </c>
      <c r="D8" s="8" t="s">
        <v>114</v>
      </c>
      <c r="E8" s="8" t="s">
        <v>145</v>
      </c>
      <c r="F8" s="8" t="s">
        <v>146</v>
      </c>
      <c r="G8" s="8" t="s">
        <v>147</v>
      </c>
      <c r="H8" s="8" t="s">
        <v>144</v>
      </c>
      <c r="I8" s="6" t="s">
        <v>119</v>
      </c>
    </row>
  </sheetData>
  <mergeCells count="1">
    <mergeCell ref="A1:I1"/>
  </mergeCells>
  <dataValidations count="1">
    <dataValidation type="list" allowBlank="1" sqref="I3:I8">
      <formula1>"是,否,阻塞,不适用"</formula1>
    </dataValidation>
  </dataValidations>
  <pageMargins left="0.75" right="0.75" top="1" bottom="1" header="0.511811023622047" footer="0.511811023622047"/>
  <pageSetup paperSize="9" orientation="portrait" horizontalDpi="300" verticalDpi="300"/>
  <headerFooter/>
  <ignoredErrors>
    <ignoredError sqref="A1:I8" listDataValidation="1"/>
  </ignoredError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
  <sheetViews>
    <sheetView workbookViewId="0">
      <pane ySplit="2" topLeftCell="A7" activePane="bottomLeft" state="frozen"/>
      <selection/>
      <selection pane="bottomLeft" activeCell="J10" sqref="J10"/>
    </sheetView>
  </sheetViews>
  <sheetFormatPr defaultColWidth="7.89166666666667" defaultRowHeight="18"/>
  <cols>
    <col min="1" max="1" width="14.5583333333333" customWidth="1"/>
    <col min="2" max="2" width="25.4666666666667" customWidth="1"/>
    <col min="3" max="3" width="7.28333333333333" customWidth="1"/>
    <col min="4" max="4" width="9.1" customWidth="1"/>
    <col min="5" max="5" width="27.3" customWidth="1"/>
    <col min="6" max="6" width="40.0333333333333" customWidth="1"/>
    <col min="7" max="7" width="41.85" customWidth="1"/>
    <col min="8" max="8" width="30.25" customWidth="1"/>
    <col min="9" max="9" width="9.1" customWidth="1"/>
  </cols>
  <sheetData>
    <row r="1" ht="31.5" customHeight="1" spans="1:9">
      <c r="A1" s="1" t="s">
        <v>148</v>
      </c>
    </row>
    <row r="2" ht="27.75" customHeight="1" spans="1:9">
      <c r="A2" s="2" t="s">
        <v>103</v>
      </c>
      <c r="B2" s="2" t="s">
        <v>104</v>
      </c>
      <c r="C2" s="2" t="s">
        <v>105</v>
      </c>
      <c r="D2" s="2" t="s">
        <v>106</v>
      </c>
      <c r="E2" s="2" t="s">
        <v>107</v>
      </c>
      <c r="F2" s="2" t="s">
        <v>108</v>
      </c>
      <c r="G2" s="2" t="s">
        <v>109</v>
      </c>
      <c r="H2" s="2" t="s">
        <v>110</v>
      </c>
      <c r="I2" s="2" t="s">
        <v>111</v>
      </c>
    </row>
    <row r="3" ht="94.5" customHeight="1" spans="1:9">
      <c r="A3" s="3" t="s">
        <v>149</v>
      </c>
      <c r="B3" s="4" t="s">
        <v>150</v>
      </c>
      <c r="C3" s="12" t="s">
        <v>15</v>
      </c>
      <c r="D3" s="4" t="s">
        <v>114</v>
      </c>
      <c r="E3" s="4" t="s">
        <v>151</v>
      </c>
      <c r="F3" s="4" t="s">
        <v>152</v>
      </c>
      <c r="G3" s="4" t="s">
        <v>153</v>
      </c>
      <c r="H3" s="4" t="s">
        <v>154</v>
      </c>
      <c r="I3" s="6" t="s">
        <v>119</v>
      </c>
    </row>
    <row r="4" ht="94.5" customHeight="1" spans="1:9">
      <c r="A4" s="7" t="s">
        <v>155</v>
      </c>
      <c r="B4" s="8" t="s">
        <v>156</v>
      </c>
      <c r="C4" s="13" t="s">
        <v>15</v>
      </c>
      <c r="D4" s="8" t="s">
        <v>114</v>
      </c>
      <c r="E4" s="8" t="s">
        <v>157</v>
      </c>
      <c r="F4" s="8" t="s">
        <v>158</v>
      </c>
      <c r="G4" s="8" t="s">
        <v>159</v>
      </c>
      <c r="H4" s="8" t="s">
        <v>160</v>
      </c>
      <c r="I4" s="10" t="s">
        <v>119</v>
      </c>
    </row>
    <row r="5" ht="94.5" customHeight="1" spans="1:9">
      <c r="A5" s="3" t="s">
        <v>161</v>
      </c>
      <c r="B5" s="4" t="s">
        <v>162</v>
      </c>
      <c r="C5" s="12" t="s">
        <v>15</v>
      </c>
      <c r="D5" s="4" t="s">
        <v>114</v>
      </c>
      <c r="E5" s="4" t="s">
        <v>163</v>
      </c>
      <c r="F5" s="4" t="s">
        <v>164</v>
      </c>
      <c r="G5" s="4" t="s">
        <v>165</v>
      </c>
      <c r="H5" s="4" t="s">
        <v>166</v>
      </c>
      <c r="I5" s="6" t="s">
        <v>119</v>
      </c>
    </row>
    <row r="6" ht="94.5" customHeight="1" spans="1:9">
      <c r="A6" s="7" t="s">
        <v>167</v>
      </c>
      <c r="B6" s="8" t="s">
        <v>168</v>
      </c>
      <c r="C6" s="11" t="s">
        <v>16</v>
      </c>
      <c r="D6" s="8" t="s">
        <v>114</v>
      </c>
      <c r="E6" s="8" t="s">
        <v>169</v>
      </c>
      <c r="F6" s="8" t="s">
        <v>170</v>
      </c>
      <c r="G6" s="8" t="s">
        <v>171</v>
      </c>
      <c r="H6" s="8" t="s">
        <v>172</v>
      </c>
      <c r="I6" s="10" t="s">
        <v>119</v>
      </c>
    </row>
    <row r="7" ht="94.5" customHeight="1" spans="1:9">
      <c r="A7" s="3" t="s">
        <v>173</v>
      </c>
      <c r="B7" s="4" t="s">
        <v>174</v>
      </c>
      <c r="C7" s="15" t="s">
        <v>16</v>
      </c>
      <c r="D7" s="4" t="s">
        <v>114</v>
      </c>
      <c r="E7" s="4" t="s">
        <v>175</v>
      </c>
      <c r="F7" s="4" t="s">
        <v>176</v>
      </c>
      <c r="G7" s="4" t="s">
        <v>177</v>
      </c>
      <c r="H7" s="4" t="s">
        <v>178</v>
      </c>
      <c r="I7" s="6" t="s">
        <v>119</v>
      </c>
    </row>
    <row r="8" ht="94.5" customHeight="1" spans="1:9">
      <c r="A8" s="7" t="s">
        <v>179</v>
      </c>
      <c r="B8" s="8" t="s">
        <v>180</v>
      </c>
      <c r="C8" s="11" t="s">
        <v>16</v>
      </c>
      <c r="D8" s="8" t="s">
        <v>114</v>
      </c>
      <c r="E8" s="8" t="s">
        <v>181</v>
      </c>
      <c r="F8" s="8" t="s">
        <v>182</v>
      </c>
      <c r="G8" s="8" t="s">
        <v>183</v>
      </c>
      <c r="H8" s="8" t="s">
        <v>184</v>
      </c>
      <c r="I8" s="10" t="s">
        <v>119</v>
      </c>
    </row>
    <row r="9" ht="94.5" customHeight="1" spans="1:9">
      <c r="A9" s="3" t="s">
        <v>185</v>
      </c>
      <c r="B9" s="4" t="s">
        <v>186</v>
      </c>
      <c r="C9" s="15" t="s">
        <v>16</v>
      </c>
      <c r="D9" s="4" t="s">
        <v>114</v>
      </c>
      <c r="E9" s="4" t="s">
        <v>187</v>
      </c>
      <c r="F9" s="4" t="s">
        <v>188</v>
      </c>
      <c r="G9" s="4" t="s">
        <v>189</v>
      </c>
      <c r="H9" s="4" t="s">
        <v>190</v>
      </c>
      <c r="I9" s="6" t="s">
        <v>119</v>
      </c>
    </row>
    <row r="10" ht="90" customHeight="1" spans="1:9">
      <c r="A10" s="16" t="s">
        <v>191</v>
      </c>
      <c r="B10" s="16" t="s">
        <v>192</v>
      </c>
      <c r="C10" s="22" t="s">
        <v>15</v>
      </c>
      <c r="D10" s="16" t="s">
        <v>114</v>
      </c>
      <c r="E10" s="16" t="s">
        <v>193</v>
      </c>
      <c r="F10" s="16" t="s">
        <v>194</v>
      </c>
      <c r="G10" s="16" t="s">
        <v>195</v>
      </c>
      <c r="H10" s="16" t="s">
        <v>196</v>
      </c>
      <c r="I10" s="10" t="s">
        <v>119</v>
      </c>
    </row>
    <row r="11" ht="90" customHeight="1" spans="1:9">
      <c r="A11" s="18" t="s">
        <v>197</v>
      </c>
      <c r="B11" s="18" t="s">
        <v>198</v>
      </c>
      <c r="C11" s="24" t="s">
        <v>15</v>
      </c>
      <c r="D11" s="18" t="s">
        <v>114</v>
      </c>
      <c r="E11" s="18" t="s">
        <v>199</v>
      </c>
      <c r="F11" s="18" t="s">
        <v>200</v>
      </c>
      <c r="G11" s="18" t="s">
        <v>201</v>
      </c>
      <c r="H11" s="18" t="s">
        <v>202</v>
      </c>
      <c r="I11" s="6" t="s">
        <v>119</v>
      </c>
    </row>
  </sheetData>
  <mergeCells count="1">
    <mergeCell ref="A1:I1"/>
  </mergeCells>
  <dataValidations count="1">
    <dataValidation type="list" allowBlank="1" sqref="I3:I11">
      <formula1>"是,否,阻塞,不适用"</formula1>
    </dataValidation>
  </dataValidations>
  <pageMargins left="0.75" right="0.75" top="1" bottom="1" header="0.511811023622047" footer="0.511811023622047"/>
  <pageSetup paperSize="9" orientation="portrait" horizontalDpi="300" verticalDpi="300"/>
  <headerFooter/>
  <ignoredErrors>
    <ignoredError sqref="A1:I7 A8:H9 A10:G11" listDataValidation="1"/>
  </ignoredError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
  <sheetViews>
    <sheetView workbookViewId="0">
      <pane ySplit="2" topLeftCell="A8" activePane="bottomLeft" state="frozen"/>
      <selection/>
      <selection pane="bottomLeft" activeCell="H11" sqref="H11"/>
    </sheetView>
  </sheetViews>
  <sheetFormatPr defaultColWidth="7.89166666666667" defaultRowHeight="18"/>
  <cols>
    <col min="1" max="1" width="14.5583333333333" customWidth="1"/>
    <col min="2" max="2" width="25.4666666666667" customWidth="1"/>
    <col min="3" max="3" width="7.28333333333333" customWidth="1"/>
    <col min="4" max="4" width="9.1" customWidth="1"/>
    <col min="5" max="5" width="27.3" customWidth="1"/>
    <col min="6" max="6" width="40.0333333333333" customWidth="1"/>
    <col min="7" max="7" width="41.85" customWidth="1"/>
    <col min="8" max="8" width="36.625" customWidth="1"/>
    <col min="9" max="9" width="9.1" customWidth="1"/>
  </cols>
  <sheetData>
    <row r="1" ht="31.5" customHeight="1" spans="1:9">
      <c r="A1" s="1" t="s">
        <v>203</v>
      </c>
    </row>
    <row r="2" ht="27.75" customHeight="1" spans="1:9">
      <c r="A2" s="2" t="s">
        <v>103</v>
      </c>
      <c r="B2" s="2" t="s">
        <v>104</v>
      </c>
      <c r="C2" s="2" t="s">
        <v>105</v>
      </c>
      <c r="D2" s="2" t="s">
        <v>106</v>
      </c>
      <c r="E2" s="2" t="s">
        <v>107</v>
      </c>
      <c r="F2" s="2" t="s">
        <v>108</v>
      </c>
      <c r="G2" s="2" t="s">
        <v>109</v>
      </c>
      <c r="H2" s="2" t="s">
        <v>110</v>
      </c>
      <c r="I2" s="2" t="s">
        <v>111</v>
      </c>
    </row>
    <row r="3" ht="94.5" customHeight="1" spans="1:9">
      <c r="A3" s="3" t="s">
        <v>204</v>
      </c>
      <c r="B3" s="4" t="s">
        <v>205</v>
      </c>
      <c r="C3" s="12" t="s">
        <v>15</v>
      </c>
      <c r="D3" s="4" t="s">
        <v>114</v>
      </c>
      <c r="E3" s="4" t="s">
        <v>206</v>
      </c>
      <c r="F3" s="4" t="s">
        <v>207</v>
      </c>
      <c r="G3" s="4" t="s">
        <v>208</v>
      </c>
      <c r="H3" s="4" t="s">
        <v>209</v>
      </c>
      <c r="I3" s="6" t="s">
        <v>119</v>
      </c>
    </row>
    <row r="4" ht="94.5" customHeight="1" spans="1:9">
      <c r="A4" s="7" t="s">
        <v>210</v>
      </c>
      <c r="B4" s="8" t="s">
        <v>211</v>
      </c>
      <c r="C4" s="26" t="s">
        <v>14</v>
      </c>
      <c r="D4" s="8" t="s">
        <v>114</v>
      </c>
      <c r="E4" s="8" t="s">
        <v>212</v>
      </c>
      <c r="F4" s="8" t="s">
        <v>213</v>
      </c>
      <c r="G4" s="8" t="s">
        <v>214</v>
      </c>
      <c r="H4" s="8" t="s">
        <v>214</v>
      </c>
      <c r="I4" s="10" t="s">
        <v>119</v>
      </c>
    </row>
    <row r="5" ht="94.5" customHeight="1" spans="1:9">
      <c r="A5" s="3" t="s">
        <v>215</v>
      </c>
      <c r="B5" s="4" t="s">
        <v>216</v>
      </c>
      <c r="C5" s="12" t="s">
        <v>15</v>
      </c>
      <c r="D5" s="4" t="s">
        <v>114</v>
      </c>
      <c r="E5" s="4" t="s">
        <v>217</v>
      </c>
      <c r="F5" s="4" t="s">
        <v>218</v>
      </c>
      <c r="G5" s="4" t="s">
        <v>219</v>
      </c>
      <c r="H5" s="4" t="s">
        <v>219</v>
      </c>
      <c r="I5" s="6" t="s">
        <v>119</v>
      </c>
    </row>
    <row r="6" ht="94.5" customHeight="1" spans="1:9">
      <c r="A6" s="7" t="s">
        <v>220</v>
      </c>
      <c r="B6" s="8" t="s">
        <v>221</v>
      </c>
      <c r="C6" s="13" t="s">
        <v>15</v>
      </c>
      <c r="D6" s="8" t="s">
        <v>114</v>
      </c>
      <c r="E6" s="8" t="s">
        <v>222</v>
      </c>
      <c r="F6" s="8" t="s">
        <v>223</v>
      </c>
      <c r="G6" s="8" t="s">
        <v>224</v>
      </c>
      <c r="H6" s="8" t="s">
        <v>224</v>
      </c>
      <c r="I6" s="10" t="s">
        <v>119</v>
      </c>
    </row>
    <row r="7" ht="94.5" customHeight="1" spans="1:9">
      <c r="A7" s="3" t="s">
        <v>225</v>
      </c>
      <c r="B7" s="4" t="s">
        <v>226</v>
      </c>
      <c r="C7" s="15" t="s">
        <v>16</v>
      </c>
      <c r="D7" s="4" t="s">
        <v>114</v>
      </c>
      <c r="E7" s="4" t="s">
        <v>227</v>
      </c>
      <c r="F7" s="4" t="s">
        <v>228</v>
      </c>
      <c r="G7" s="4" t="s">
        <v>229</v>
      </c>
      <c r="H7" s="4" t="s">
        <v>230</v>
      </c>
      <c r="I7" s="6" t="s">
        <v>119</v>
      </c>
    </row>
    <row r="8" ht="99" customHeight="1" spans="1:9">
      <c r="A8" s="7" t="s">
        <v>231</v>
      </c>
      <c r="B8" s="8" t="s">
        <v>232</v>
      </c>
      <c r="C8" s="13" t="s">
        <v>15</v>
      </c>
      <c r="D8" s="8" t="s">
        <v>114</v>
      </c>
      <c r="E8" s="8" t="s">
        <v>233</v>
      </c>
      <c r="F8" s="8" t="s">
        <v>234</v>
      </c>
      <c r="G8" s="8" t="s">
        <v>235</v>
      </c>
      <c r="H8" s="8" t="s">
        <v>236</v>
      </c>
      <c r="I8" s="10" t="s">
        <v>119</v>
      </c>
    </row>
    <row r="9" ht="94.5" customHeight="1" spans="1:9">
      <c r="A9" s="3" t="s">
        <v>237</v>
      </c>
      <c r="B9" s="4" t="s">
        <v>238</v>
      </c>
      <c r="C9" s="12" t="s">
        <v>15</v>
      </c>
      <c r="D9" s="4" t="s">
        <v>114</v>
      </c>
      <c r="E9" s="4" t="s">
        <v>239</v>
      </c>
      <c r="F9" s="4" t="s">
        <v>240</v>
      </c>
      <c r="G9" s="4" t="s">
        <v>241</v>
      </c>
      <c r="H9" s="4" t="s">
        <v>242</v>
      </c>
      <c r="I9" s="6" t="s">
        <v>119</v>
      </c>
    </row>
    <row r="10" ht="90" customHeight="1" spans="1:9">
      <c r="A10" s="16" t="s">
        <v>243</v>
      </c>
      <c r="B10" s="16" t="s">
        <v>244</v>
      </c>
      <c r="C10" s="17" t="s">
        <v>16</v>
      </c>
      <c r="D10" s="16" t="s">
        <v>114</v>
      </c>
      <c r="E10" s="16" t="s">
        <v>245</v>
      </c>
      <c r="F10" s="16" t="s">
        <v>246</v>
      </c>
      <c r="G10" s="16" t="s">
        <v>247</v>
      </c>
      <c r="H10" s="16" t="s">
        <v>247</v>
      </c>
      <c r="I10" s="10" t="s">
        <v>119</v>
      </c>
    </row>
    <row r="11" ht="90" customHeight="1" spans="1:9">
      <c r="A11" s="18" t="s">
        <v>248</v>
      </c>
      <c r="B11" s="18" t="s">
        <v>249</v>
      </c>
      <c r="C11" s="19" t="s">
        <v>16</v>
      </c>
      <c r="D11" s="18" t="s">
        <v>114</v>
      </c>
      <c r="E11" s="18" t="s">
        <v>250</v>
      </c>
      <c r="F11" s="18" t="s">
        <v>251</v>
      </c>
      <c r="G11" s="18" t="s">
        <v>252</v>
      </c>
      <c r="H11" s="18" t="s">
        <v>253</v>
      </c>
      <c r="I11" s="6" t="s">
        <v>119</v>
      </c>
    </row>
  </sheetData>
  <mergeCells count="1">
    <mergeCell ref="A1:I1"/>
  </mergeCells>
  <dataValidations count="1">
    <dataValidation type="list" allowBlank="1" sqref="I3:I11">
      <formula1>"是,否,阻塞,不适用"</formula1>
    </dataValidation>
  </dataValidations>
  <pageMargins left="0.75" right="0.75" top="1" bottom="1" header="0.511811023622047" footer="0.511811023622047"/>
  <pageSetup paperSize="9" orientation="portrait" horizontalDpi="300" verticalDpi="300"/>
  <headerFooter/>
  <ignoredErrors>
    <ignoredError sqref="A1:I9 A10:G11 I10:I11" listDataValidation="1"/>
  </ignoredError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3"/>
  <sheetViews>
    <sheetView workbookViewId="0">
      <pane ySplit="2" topLeftCell="A3" activePane="bottomLeft" state="frozen"/>
      <selection/>
      <selection pane="bottomLeft" activeCell="I3" sqref="I3"/>
    </sheetView>
  </sheetViews>
  <sheetFormatPr defaultColWidth="7.89166666666667" defaultRowHeight="18"/>
  <cols>
    <col min="1" max="1" width="14.5583333333333" customWidth="1"/>
    <col min="2" max="2" width="25.4666666666667" customWidth="1"/>
    <col min="3" max="3" width="7.28333333333333" customWidth="1"/>
    <col min="4" max="4" width="9.1" customWidth="1"/>
    <col min="5" max="5" width="27.3" customWidth="1"/>
    <col min="6" max="6" width="40.0333333333333" customWidth="1"/>
    <col min="7" max="7" width="41.85" customWidth="1"/>
    <col min="8" max="8" width="31.875" customWidth="1"/>
    <col min="9" max="9" width="9.1" customWidth="1"/>
  </cols>
  <sheetData>
    <row r="1" ht="31.5" customHeight="1" spans="1:9">
      <c r="A1" s="1" t="s">
        <v>254</v>
      </c>
    </row>
    <row r="2" ht="27.75" customHeight="1" spans="1:9">
      <c r="A2" s="2" t="s">
        <v>103</v>
      </c>
      <c r="B2" s="2" t="s">
        <v>104</v>
      </c>
      <c r="C2" s="2" t="s">
        <v>105</v>
      </c>
      <c r="D2" s="2" t="s">
        <v>106</v>
      </c>
      <c r="E2" s="2" t="s">
        <v>107</v>
      </c>
      <c r="F2" s="2" t="s">
        <v>108</v>
      </c>
      <c r="G2" s="2" t="s">
        <v>109</v>
      </c>
      <c r="H2" s="2" t="s">
        <v>110</v>
      </c>
      <c r="I2" s="2" t="s">
        <v>111</v>
      </c>
    </row>
    <row r="3" ht="94.5" customHeight="1" spans="1:9">
      <c r="A3" s="3" t="s">
        <v>255</v>
      </c>
      <c r="B3" s="4" t="s">
        <v>256</v>
      </c>
      <c r="C3" s="12" t="s">
        <v>15</v>
      </c>
      <c r="D3" s="4" t="s">
        <v>114</v>
      </c>
      <c r="E3" s="4" t="s">
        <v>257</v>
      </c>
      <c r="F3" s="4" t="s">
        <v>258</v>
      </c>
      <c r="G3" s="4" t="s">
        <v>259</v>
      </c>
      <c r="H3" s="4" t="s">
        <v>260</v>
      </c>
      <c r="I3" s="6" t="s">
        <v>119</v>
      </c>
    </row>
    <row r="4" ht="94.5" customHeight="1" spans="1:9">
      <c r="A4" s="7" t="s">
        <v>261</v>
      </c>
      <c r="B4" s="8" t="s">
        <v>262</v>
      </c>
      <c r="C4" s="13" t="s">
        <v>15</v>
      </c>
      <c r="D4" s="8" t="s">
        <v>114</v>
      </c>
      <c r="E4" s="8" t="s">
        <v>263</v>
      </c>
      <c r="F4" s="8" t="s">
        <v>264</v>
      </c>
      <c r="G4" s="8" t="s">
        <v>265</v>
      </c>
      <c r="H4" s="8" t="s">
        <v>266</v>
      </c>
      <c r="I4" s="10" t="s">
        <v>119</v>
      </c>
    </row>
    <row r="5" ht="94.5" customHeight="1" spans="1:9">
      <c r="A5" s="3" t="s">
        <v>267</v>
      </c>
      <c r="B5" s="4" t="s">
        <v>268</v>
      </c>
      <c r="C5" s="14" t="s">
        <v>14</v>
      </c>
      <c r="D5" s="4" t="s">
        <v>114</v>
      </c>
      <c r="E5" s="4" t="s">
        <v>269</v>
      </c>
      <c r="F5" s="4" t="s">
        <v>270</v>
      </c>
      <c r="G5" s="4" t="s">
        <v>271</v>
      </c>
      <c r="H5" s="4" t="s">
        <v>272</v>
      </c>
      <c r="I5" s="6" t="s">
        <v>119</v>
      </c>
    </row>
    <row r="6" ht="94.5" customHeight="1" spans="1:9">
      <c r="A6" s="7" t="s">
        <v>273</v>
      </c>
      <c r="B6" s="8" t="s">
        <v>274</v>
      </c>
      <c r="C6" s="13" t="s">
        <v>15</v>
      </c>
      <c r="D6" s="8" t="s">
        <v>114</v>
      </c>
      <c r="E6" s="8" t="s">
        <v>275</v>
      </c>
      <c r="F6" s="8" t="s">
        <v>276</v>
      </c>
      <c r="G6" s="8" t="s">
        <v>277</v>
      </c>
      <c r="H6" s="8" t="s">
        <v>278</v>
      </c>
      <c r="I6" s="6" t="s">
        <v>119</v>
      </c>
    </row>
    <row r="7" ht="94.5" customHeight="1" spans="1:9">
      <c r="A7" s="3" t="s">
        <v>279</v>
      </c>
      <c r="B7" s="4" t="s">
        <v>280</v>
      </c>
      <c r="C7" s="12" t="s">
        <v>15</v>
      </c>
      <c r="D7" s="4" t="s">
        <v>114</v>
      </c>
      <c r="E7" s="4" t="s">
        <v>281</v>
      </c>
      <c r="F7" s="4" t="s">
        <v>282</v>
      </c>
      <c r="G7" s="4" t="s">
        <v>283</v>
      </c>
      <c r="H7" s="4" t="s">
        <v>284</v>
      </c>
      <c r="I7" s="10" t="s">
        <v>119</v>
      </c>
    </row>
    <row r="8" ht="94.5" customHeight="1" spans="1:9">
      <c r="A8" s="7" t="s">
        <v>285</v>
      </c>
      <c r="B8" s="8" t="s">
        <v>286</v>
      </c>
      <c r="C8" s="11" t="s">
        <v>16</v>
      </c>
      <c r="D8" s="8" t="s">
        <v>114</v>
      </c>
      <c r="E8" s="8" t="s">
        <v>287</v>
      </c>
      <c r="F8" s="8" t="s">
        <v>288</v>
      </c>
      <c r="G8" s="8" t="s">
        <v>289</v>
      </c>
      <c r="H8" s="8" t="s">
        <v>290</v>
      </c>
      <c r="I8" s="6" t="s">
        <v>119</v>
      </c>
    </row>
    <row r="9" ht="96" customHeight="1" spans="1:9">
      <c r="A9" s="3" t="s">
        <v>291</v>
      </c>
      <c r="B9" s="4" t="s">
        <v>292</v>
      </c>
      <c r="C9" s="14" t="s">
        <v>14</v>
      </c>
      <c r="D9" s="4" t="s">
        <v>114</v>
      </c>
      <c r="E9" s="4" t="s">
        <v>293</v>
      </c>
      <c r="F9" s="4" t="s">
        <v>294</v>
      </c>
      <c r="G9" s="4" t="s">
        <v>295</v>
      </c>
      <c r="H9" s="4" t="s">
        <v>296</v>
      </c>
      <c r="I9" s="21" t="s">
        <v>297</v>
      </c>
    </row>
    <row r="10" ht="90" customHeight="1" spans="1:9">
      <c r="A10" s="16" t="s">
        <v>298</v>
      </c>
      <c r="B10" s="16" t="s">
        <v>299</v>
      </c>
      <c r="C10" s="22" t="s">
        <v>15</v>
      </c>
      <c r="D10" s="16" t="s">
        <v>114</v>
      </c>
      <c r="E10" s="16" t="s">
        <v>300</v>
      </c>
      <c r="F10" s="16" t="s">
        <v>301</v>
      </c>
      <c r="G10" s="16" t="s">
        <v>302</v>
      </c>
      <c r="H10" s="16" t="s">
        <v>303</v>
      </c>
      <c r="I10" s="23" t="s">
        <v>119</v>
      </c>
    </row>
    <row r="11" ht="90" customHeight="1" spans="1:9">
      <c r="A11" s="18" t="s">
        <v>304</v>
      </c>
      <c r="B11" s="18" t="s">
        <v>305</v>
      </c>
      <c r="C11" s="24" t="s">
        <v>15</v>
      </c>
      <c r="D11" s="18" t="s">
        <v>114</v>
      </c>
      <c r="E11" s="18" t="s">
        <v>306</v>
      </c>
      <c r="F11" s="18" t="s">
        <v>307</v>
      </c>
      <c r="G11" s="18" t="s">
        <v>308</v>
      </c>
      <c r="H11" s="18" t="s">
        <v>309</v>
      </c>
      <c r="I11" s="25" t="s">
        <v>119</v>
      </c>
    </row>
    <row r="12" ht="90" customHeight="1" spans="1:9">
      <c r="A12" s="16" t="s">
        <v>310</v>
      </c>
      <c r="B12" s="16" t="s">
        <v>311</v>
      </c>
      <c r="C12" s="22" t="s">
        <v>15</v>
      </c>
      <c r="D12" s="16" t="s">
        <v>114</v>
      </c>
      <c r="E12" s="16" t="s">
        <v>312</v>
      </c>
      <c r="F12" s="16" t="s">
        <v>313</v>
      </c>
      <c r="G12" s="16" t="s">
        <v>314</v>
      </c>
      <c r="H12" s="16" t="s">
        <v>315</v>
      </c>
      <c r="I12" s="23" t="s">
        <v>119</v>
      </c>
    </row>
    <row r="13" ht="90" customHeight="1" spans="1:9">
      <c r="A13" s="18" t="s">
        <v>316</v>
      </c>
      <c r="B13" s="18" t="s">
        <v>317</v>
      </c>
      <c r="C13" s="19" t="s">
        <v>16</v>
      </c>
      <c r="D13" s="18" t="s">
        <v>114</v>
      </c>
      <c r="E13" s="18" t="s">
        <v>318</v>
      </c>
      <c r="F13" s="18" t="s">
        <v>319</v>
      </c>
      <c r="G13" s="18" t="s">
        <v>320</v>
      </c>
      <c r="H13" s="18" t="s">
        <v>321</v>
      </c>
      <c r="I13" s="25" t="s">
        <v>119</v>
      </c>
    </row>
  </sheetData>
  <mergeCells count="1">
    <mergeCell ref="A1:I1"/>
  </mergeCells>
  <dataValidations count="1">
    <dataValidation type="list" allowBlank="1" sqref="I3:I13">
      <formula1>"是,否,阻塞,不适用"</formula1>
    </dataValidation>
  </dataValidations>
  <pageMargins left="0.75" right="0.75" top="1" bottom="1" header="0.511811023622047" footer="0.511811023622047"/>
  <pageSetup paperSize="9" orientation="portrait" horizontalDpi="300" verticalDpi="300"/>
  <headerFooter/>
  <ignoredErrors>
    <ignoredError sqref="A1:I13" listDataValidation="1"/>
  </ignoredErrors>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
  <sheetViews>
    <sheetView workbookViewId="0">
      <pane ySplit="2" topLeftCell="A3" activePane="bottomLeft" state="frozen"/>
      <selection/>
      <selection pane="bottomLeft" activeCell="I3" sqref="I3:I8"/>
    </sheetView>
  </sheetViews>
  <sheetFormatPr defaultColWidth="7.89166666666667" defaultRowHeight="18" outlineLevelRow="7"/>
  <cols>
    <col min="1" max="1" width="14.5583333333333" customWidth="1"/>
    <col min="2" max="2" width="25.4666666666667" customWidth="1"/>
    <col min="3" max="3" width="7.28333333333333" customWidth="1"/>
    <col min="4" max="4" width="9.1" customWidth="1"/>
    <col min="5" max="5" width="27.3" customWidth="1"/>
    <col min="6" max="6" width="40.0333333333333" customWidth="1"/>
    <col min="7" max="7" width="41.85" customWidth="1"/>
    <col min="8" max="8" width="23.25" customWidth="1"/>
    <col min="9" max="9" width="9.1" customWidth="1"/>
  </cols>
  <sheetData>
    <row r="1" ht="31.5" customHeight="1" spans="1:9">
      <c r="A1" s="1" t="s">
        <v>322</v>
      </c>
    </row>
    <row r="2" ht="27.75" customHeight="1" spans="1:9">
      <c r="A2" s="2" t="s">
        <v>103</v>
      </c>
      <c r="B2" s="2" t="s">
        <v>104</v>
      </c>
      <c r="C2" s="2" t="s">
        <v>105</v>
      </c>
      <c r="D2" s="2" t="s">
        <v>106</v>
      </c>
      <c r="E2" s="2" t="s">
        <v>107</v>
      </c>
      <c r="F2" s="2" t="s">
        <v>108</v>
      </c>
      <c r="G2" s="2" t="s">
        <v>109</v>
      </c>
      <c r="H2" s="2" t="s">
        <v>110</v>
      </c>
      <c r="I2" s="2" t="s">
        <v>111</v>
      </c>
    </row>
    <row r="3" ht="94.5" customHeight="1" spans="1:9">
      <c r="A3" s="3" t="s">
        <v>323</v>
      </c>
      <c r="B3" s="4" t="s">
        <v>324</v>
      </c>
      <c r="C3" s="12" t="s">
        <v>15</v>
      </c>
      <c r="D3" s="4" t="s">
        <v>114</v>
      </c>
      <c r="E3" s="4" t="s">
        <v>325</v>
      </c>
      <c r="F3" s="4" t="s">
        <v>326</v>
      </c>
      <c r="G3" s="4" t="s">
        <v>327</v>
      </c>
      <c r="H3" s="4" t="s">
        <v>328</v>
      </c>
      <c r="I3" s="6" t="s">
        <v>119</v>
      </c>
    </row>
    <row r="4" ht="94.5" customHeight="1" spans="1:9">
      <c r="A4" s="7" t="s">
        <v>329</v>
      </c>
      <c r="B4" s="8" t="s">
        <v>330</v>
      </c>
      <c r="C4" s="13" t="s">
        <v>15</v>
      </c>
      <c r="D4" s="8" t="s">
        <v>114</v>
      </c>
      <c r="E4" s="8" t="s">
        <v>331</v>
      </c>
      <c r="F4" s="8" t="s">
        <v>332</v>
      </c>
      <c r="G4" s="8" t="s">
        <v>333</v>
      </c>
      <c r="H4" s="8" t="s">
        <v>334</v>
      </c>
      <c r="I4" s="10" t="s">
        <v>119</v>
      </c>
    </row>
    <row r="5" ht="94.5" customHeight="1" spans="1:9">
      <c r="A5" s="3" t="s">
        <v>335</v>
      </c>
      <c r="B5" s="4" t="s">
        <v>336</v>
      </c>
      <c r="C5" s="12" t="s">
        <v>15</v>
      </c>
      <c r="D5" s="4" t="s">
        <v>114</v>
      </c>
      <c r="E5" s="4" t="s">
        <v>337</v>
      </c>
      <c r="F5" s="4" t="s">
        <v>338</v>
      </c>
      <c r="G5" s="4" t="s">
        <v>339</v>
      </c>
      <c r="H5" s="4" t="s">
        <v>340</v>
      </c>
      <c r="I5" s="6" t="s">
        <v>119</v>
      </c>
    </row>
    <row r="6" ht="94.5" customHeight="1" spans="1:9">
      <c r="A6" s="7" t="s">
        <v>341</v>
      </c>
      <c r="B6" s="8" t="s">
        <v>342</v>
      </c>
      <c r="C6" s="13" t="s">
        <v>15</v>
      </c>
      <c r="D6" s="8" t="s">
        <v>114</v>
      </c>
      <c r="E6" s="8" t="s">
        <v>343</v>
      </c>
      <c r="F6" s="8" t="s">
        <v>344</v>
      </c>
      <c r="G6" s="8" t="s">
        <v>345</v>
      </c>
      <c r="H6" s="8" t="s">
        <v>346</v>
      </c>
      <c r="I6" s="10" t="s">
        <v>119</v>
      </c>
    </row>
    <row r="7" ht="94.5" customHeight="1" spans="1:9">
      <c r="A7" s="3" t="s">
        <v>347</v>
      </c>
      <c r="B7" s="4" t="s">
        <v>348</v>
      </c>
      <c r="C7" s="12" t="s">
        <v>15</v>
      </c>
      <c r="D7" s="4" t="s">
        <v>114</v>
      </c>
      <c r="E7" s="4" t="s">
        <v>349</v>
      </c>
      <c r="F7" s="4" t="s">
        <v>350</v>
      </c>
      <c r="G7" s="4" t="s">
        <v>351</v>
      </c>
      <c r="H7" s="4" t="s">
        <v>352</v>
      </c>
      <c r="I7" s="6" t="s">
        <v>119</v>
      </c>
    </row>
    <row r="8" ht="99" customHeight="1" spans="1:9">
      <c r="A8" s="7" t="s">
        <v>353</v>
      </c>
      <c r="B8" s="8" t="s">
        <v>354</v>
      </c>
      <c r="C8" s="13" t="s">
        <v>15</v>
      </c>
      <c r="D8" s="8" t="s">
        <v>114</v>
      </c>
      <c r="E8" s="8" t="s">
        <v>355</v>
      </c>
      <c r="F8" s="8" t="s">
        <v>356</v>
      </c>
      <c r="G8" s="8" t="s">
        <v>357</v>
      </c>
      <c r="H8" s="8" t="s">
        <v>358</v>
      </c>
      <c r="I8" s="10" t="s">
        <v>119</v>
      </c>
    </row>
  </sheetData>
  <mergeCells count="1">
    <mergeCell ref="A1:I1"/>
  </mergeCells>
  <dataValidations count="1">
    <dataValidation type="list" allowBlank="1" sqref="I3:I8">
      <formula1>"是,否,阻塞,不适用"</formula1>
    </dataValidation>
  </dataValidations>
  <pageMargins left="0.75" right="0.75" top="1" bottom="1" header="0.511811023622047" footer="0.511811023622047"/>
  <pageSetup paperSize="9" orientation="portrait" horizontalDpi="300" verticalDpi="300"/>
  <headerFooter/>
  <ignoredErrors>
    <ignoredError sqref="A1:I8" listDataValidation="1"/>
  </ignoredErrors>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
  <sheetViews>
    <sheetView workbookViewId="0">
      <pane ySplit="2" topLeftCell="A3" activePane="bottomLeft" state="frozen"/>
      <selection/>
      <selection pane="bottomLeft" activeCell="I3" sqref="I3"/>
    </sheetView>
  </sheetViews>
  <sheetFormatPr defaultColWidth="7.89166666666667" defaultRowHeight="18"/>
  <cols>
    <col min="1" max="1" width="14.5583333333333" customWidth="1"/>
    <col min="2" max="2" width="25.4666666666667" customWidth="1"/>
    <col min="3" max="3" width="7.28333333333333" customWidth="1"/>
    <col min="4" max="4" width="9.1" customWidth="1"/>
    <col min="5" max="5" width="27.3" customWidth="1"/>
    <col min="6" max="6" width="40.0333333333333" customWidth="1"/>
    <col min="7" max="7" width="41.85" customWidth="1"/>
    <col min="8" max="8" width="16.3833333333333" customWidth="1"/>
    <col min="9" max="9" width="9.1" customWidth="1"/>
  </cols>
  <sheetData>
    <row r="1" ht="31.5" customHeight="1" spans="1:9">
      <c r="A1" s="1" t="s">
        <v>359</v>
      </c>
    </row>
    <row r="2" ht="27.75" customHeight="1" spans="1:9">
      <c r="A2" s="2" t="s">
        <v>103</v>
      </c>
      <c r="B2" s="2" t="s">
        <v>104</v>
      </c>
      <c r="C2" s="2" t="s">
        <v>105</v>
      </c>
      <c r="D2" s="2" t="s">
        <v>106</v>
      </c>
      <c r="E2" s="2" t="s">
        <v>107</v>
      </c>
      <c r="F2" s="2" t="s">
        <v>108</v>
      </c>
      <c r="G2" s="2" t="s">
        <v>109</v>
      </c>
      <c r="H2" s="2" t="s">
        <v>110</v>
      </c>
      <c r="I2" s="2" t="s">
        <v>111</v>
      </c>
    </row>
    <row r="3" ht="94.5" customHeight="1" spans="1:9">
      <c r="A3" s="3" t="s">
        <v>360</v>
      </c>
      <c r="B3" s="4" t="s">
        <v>361</v>
      </c>
      <c r="C3" s="15" t="s">
        <v>16</v>
      </c>
      <c r="D3" s="4" t="s">
        <v>114</v>
      </c>
      <c r="E3" s="4" t="s">
        <v>362</v>
      </c>
      <c r="F3" s="4" t="s">
        <v>363</v>
      </c>
      <c r="G3" s="4" t="s">
        <v>364</v>
      </c>
      <c r="H3" s="4" t="s">
        <v>364</v>
      </c>
      <c r="I3" s="6" t="s">
        <v>119</v>
      </c>
    </row>
    <row r="4" ht="94.5" customHeight="1" spans="1:9">
      <c r="A4" s="7" t="s">
        <v>365</v>
      </c>
      <c r="B4" s="8" t="s">
        <v>366</v>
      </c>
      <c r="C4" s="11" t="s">
        <v>16</v>
      </c>
      <c r="D4" s="8" t="s">
        <v>114</v>
      </c>
      <c r="E4" s="8" t="s">
        <v>367</v>
      </c>
      <c r="F4" s="8" t="s">
        <v>368</v>
      </c>
      <c r="G4" s="8" t="s">
        <v>369</v>
      </c>
      <c r="H4" s="8" t="s">
        <v>369</v>
      </c>
      <c r="I4" s="10" t="s">
        <v>119</v>
      </c>
    </row>
    <row r="5" ht="94.5" customHeight="1" spans="1:9">
      <c r="A5" s="3" t="s">
        <v>370</v>
      </c>
      <c r="B5" s="4" t="s">
        <v>371</v>
      </c>
      <c r="C5" s="15" t="s">
        <v>16</v>
      </c>
      <c r="D5" s="4" t="s">
        <v>114</v>
      </c>
      <c r="E5" s="4" t="s">
        <v>372</v>
      </c>
      <c r="F5" s="4" t="s">
        <v>373</v>
      </c>
      <c r="G5" s="4" t="s">
        <v>374</v>
      </c>
      <c r="H5" s="4" t="s">
        <v>374</v>
      </c>
      <c r="I5" s="6" t="s">
        <v>119</v>
      </c>
    </row>
    <row r="6" ht="94.5" customHeight="1" spans="1:9">
      <c r="A6" s="7" t="s">
        <v>375</v>
      </c>
      <c r="B6" s="8" t="s">
        <v>376</v>
      </c>
      <c r="C6" s="11" t="s">
        <v>16</v>
      </c>
      <c r="D6" s="8" t="s">
        <v>114</v>
      </c>
      <c r="E6" s="8" t="s">
        <v>377</v>
      </c>
      <c r="F6" s="8" t="s">
        <v>378</v>
      </c>
      <c r="G6" s="8" t="s">
        <v>379</v>
      </c>
      <c r="H6" s="8" t="s">
        <v>380</v>
      </c>
      <c r="I6" s="10" t="s">
        <v>119</v>
      </c>
    </row>
    <row r="7" ht="94.5" customHeight="1" spans="1:9">
      <c r="A7" s="3" t="s">
        <v>381</v>
      </c>
      <c r="B7" s="4" t="s">
        <v>382</v>
      </c>
      <c r="C7" s="5" t="s">
        <v>17</v>
      </c>
      <c r="D7" s="4" t="s">
        <v>114</v>
      </c>
      <c r="E7" s="4" t="s">
        <v>383</v>
      </c>
      <c r="F7" s="4" t="s">
        <v>384</v>
      </c>
      <c r="G7" s="4" t="s">
        <v>385</v>
      </c>
      <c r="H7" s="4" t="s">
        <v>386</v>
      </c>
      <c r="I7" s="6" t="s">
        <v>119</v>
      </c>
    </row>
    <row r="8" ht="90" customHeight="1" spans="1:9">
      <c r="A8" s="16" t="s">
        <v>387</v>
      </c>
      <c r="B8" s="16" t="s">
        <v>388</v>
      </c>
      <c r="C8" s="17" t="s">
        <v>16</v>
      </c>
      <c r="D8" s="16" t="s">
        <v>114</v>
      </c>
      <c r="E8" s="16" t="s">
        <v>389</v>
      </c>
      <c r="F8" s="16" t="s">
        <v>390</v>
      </c>
      <c r="G8" s="16" t="s">
        <v>391</v>
      </c>
      <c r="H8" s="16" t="s">
        <v>392</v>
      </c>
      <c r="I8" s="10" t="s">
        <v>119</v>
      </c>
    </row>
    <row r="9" ht="90" customHeight="1" spans="1:9">
      <c r="A9" s="18" t="s">
        <v>393</v>
      </c>
      <c r="B9" s="18" t="s">
        <v>394</v>
      </c>
      <c r="C9" s="19" t="s">
        <v>16</v>
      </c>
      <c r="D9" s="18" t="s">
        <v>114</v>
      </c>
      <c r="E9" s="18" t="s">
        <v>395</v>
      </c>
      <c r="F9" s="18" t="s">
        <v>396</v>
      </c>
      <c r="G9" s="18" t="s">
        <v>397</v>
      </c>
      <c r="H9" s="18" t="s">
        <v>397</v>
      </c>
      <c r="I9" s="6" t="s">
        <v>119</v>
      </c>
    </row>
    <row r="10" ht="90" customHeight="1" spans="1:9">
      <c r="A10" s="16" t="s">
        <v>398</v>
      </c>
      <c r="B10" s="16" t="s">
        <v>399</v>
      </c>
      <c r="C10" s="20" t="s">
        <v>17</v>
      </c>
      <c r="D10" s="16" t="s">
        <v>114</v>
      </c>
      <c r="E10" s="16" t="s">
        <v>400</v>
      </c>
      <c r="F10" s="16" t="s">
        <v>401</v>
      </c>
      <c r="G10" s="16" t="s">
        <v>402</v>
      </c>
      <c r="H10" s="16" t="s">
        <v>403</v>
      </c>
      <c r="I10" s="10" t="s">
        <v>119</v>
      </c>
    </row>
  </sheetData>
  <mergeCells count="1">
    <mergeCell ref="A1:I1"/>
  </mergeCells>
  <dataValidations count="1">
    <dataValidation type="list" allowBlank="1" sqref="I3:I10">
      <formula1>"是,否,阻塞,不适用"</formula1>
    </dataValidation>
  </dataValidations>
  <pageMargins left="0.75" right="0.75" top="1" bottom="1" header="0.511811023622047" footer="0.511811023622047"/>
  <pageSetup paperSize="9" orientation="portrait" horizontalDpi="300" verticalDpi="300"/>
  <headerFooter/>
  <ignoredErrors>
    <ignoredError sqref="A1:I10" listDataValidation="1"/>
  </ignoredErrors>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
  <sheetViews>
    <sheetView workbookViewId="0">
      <pane ySplit="2" topLeftCell="A3" activePane="bottomLeft" state="frozen"/>
      <selection/>
      <selection pane="bottomLeft" activeCell="I3" sqref="I3:I7"/>
    </sheetView>
  </sheetViews>
  <sheetFormatPr defaultColWidth="7.89166666666667" defaultRowHeight="18" outlineLevelRow="6"/>
  <cols>
    <col min="1" max="1" width="14.5583333333333" customWidth="1"/>
    <col min="2" max="2" width="25.4666666666667" customWidth="1"/>
    <col min="3" max="3" width="7.28333333333333" customWidth="1"/>
    <col min="4" max="4" width="9.1" customWidth="1"/>
    <col min="5" max="5" width="27.3" customWidth="1"/>
    <col min="6" max="6" width="40.0333333333333" customWidth="1"/>
    <col min="7" max="7" width="41.85" customWidth="1"/>
    <col min="8" max="8" width="16.3833333333333" customWidth="1"/>
    <col min="9" max="9" width="9.1" customWidth="1"/>
  </cols>
  <sheetData>
    <row r="1" ht="31.5" customHeight="1" spans="1:9">
      <c r="A1" s="1" t="s">
        <v>404</v>
      </c>
    </row>
    <row r="2" ht="27.75" customHeight="1" spans="1:9">
      <c r="A2" s="2" t="s">
        <v>103</v>
      </c>
      <c r="B2" s="2" t="s">
        <v>104</v>
      </c>
      <c r="C2" s="2" t="s">
        <v>105</v>
      </c>
      <c r="D2" s="2" t="s">
        <v>106</v>
      </c>
      <c r="E2" s="2" t="s">
        <v>107</v>
      </c>
      <c r="F2" s="2" t="s">
        <v>108</v>
      </c>
      <c r="G2" s="2" t="s">
        <v>109</v>
      </c>
      <c r="H2" s="2" t="s">
        <v>110</v>
      </c>
      <c r="I2" s="2" t="s">
        <v>111</v>
      </c>
    </row>
    <row r="3" ht="94.5" customHeight="1" spans="1:9">
      <c r="A3" s="3" t="s">
        <v>405</v>
      </c>
      <c r="B3" s="4" t="s">
        <v>406</v>
      </c>
      <c r="C3" s="12" t="s">
        <v>15</v>
      </c>
      <c r="D3" s="4" t="s">
        <v>114</v>
      </c>
      <c r="E3" s="4" t="s">
        <v>407</v>
      </c>
      <c r="F3" s="4" t="s">
        <v>408</v>
      </c>
      <c r="G3" s="4" t="s">
        <v>409</v>
      </c>
      <c r="H3" s="4" t="s">
        <v>410</v>
      </c>
      <c r="I3" s="6" t="s">
        <v>119</v>
      </c>
    </row>
    <row r="4" ht="98" customHeight="1" spans="1:9">
      <c r="A4" s="7" t="s">
        <v>411</v>
      </c>
      <c r="B4" s="8" t="s">
        <v>412</v>
      </c>
      <c r="C4" s="13" t="s">
        <v>15</v>
      </c>
      <c r="D4" s="8" t="s">
        <v>114</v>
      </c>
      <c r="E4" s="8" t="s">
        <v>413</v>
      </c>
      <c r="F4" s="8" t="s">
        <v>414</v>
      </c>
      <c r="G4" s="8" t="s">
        <v>415</v>
      </c>
      <c r="H4" s="8" t="s">
        <v>416</v>
      </c>
      <c r="I4" s="10" t="s">
        <v>119</v>
      </c>
    </row>
    <row r="5" ht="94.5" customHeight="1" spans="1:9">
      <c r="A5" s="3" t="s">
        <v>417</v>
      </c>
      <c r="B5" s="4" t="s">
        <v>418</v>
      </c>
      <c r="C5" s="14" t="s">
        <v>14</v>
      </c>
      <c r="D5" s="4" t="s">
        <v>114</v>
      </c>
      <c r="E5" s="4" t="s">
        <v>419</v>
      </c>
      <c r="F5" s="4" t="s">
        <v>420</v>
      </c>
      <c r="G5" s="4" t="s">
        <v>421</v>
      </c>
      <c r="H5" s="4" t="s">
        <v>422</v>
      </c>
      <c r="I5" s="6" t="s">
        <v>119</v>
      </c>
    </row>
    <row r="6" ht="94.5" customHeight="1" spans="1:9">
      <c r="A6" s="7" t="s">
        <v>423</v>
      </c>
      <c r="B6" s="8" t="s">
        <v>424</v>
      </c>
      <c r="C6" s="11" t="s">
        <v>16</v>
      </c>
      <c r="D6" s="8" t="s">
        <v>114</v>
      </c>
      <c r="E6" s="8" t="s">
        <v>425</v>
      </c>
      <c r="F6" s="8" t="s">
        <v>426</v>
      </c>
      <c r="G6" s="8" t="s">
        <v>427</v>
      </c>
      <c r="H6" s="8" t="s">
        <v>428</v>
      </c>
      <c r="I6" s="10" t="s">
        <v>119</v>
      </c>
    </row>
    <row r="7" ht="94.5" customHeight="1" spans="1:9">
      <c r="A7" s="3" t="s">
        <v>429</v>
      </c>
      <c r="B7" s="4" t="s">
        <v>430</v>
      </c>
      <c r="C7" s="15" t="s">
        <v>16</v>
      </c>
      <c r="D7" s="4" t="s">
        <v>114</v>
      </c>
      <c r="E7" s="4" t="s">
        <v>431</v>
      </c>
      <c r="F7" s="4" t="s">
        <v>432</v>
      </c>
      <c r="G7" s="4" t="s">
        <v>433</v>
      </c>
      <c r="H7" s="4" t="s">
        <v>434</v>
      </c>
      <c r="I7" s="6" t="s">
        <v>119</v>
      </c>
    </row>
  </sheetData>
  <mergeCells count="1">
    <mergeCell ref="A1:I1"/>
  </mergeCells>
  <dataValidations count="1">
    <dataValidation type="list" allowBlank="1" sqref="I3:I7">
      <formula1>"是,否,阻塞,不适用"</formula1>
    </dataValidation>
  </dataValidations>
  <pageMargins left="0.75" right="0.75" top="1" bottom="1" header="0.511811023622047" footer="0.511811023622047"/>
  <pageSetup paperSize="9" orientation="portrait" horizontalDpi="300" verticalDpi="300"/>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
  <sheetViews>
    <sheetView tabSelected="1" workbookViewId="0">
      <pane ySplit="2" topLeftCell="A3" activePane="bottomLeft" state="frozen"/>
      <selection/>
      <selection pane="bottomLeft" activeCell="E7" sqref="E7"/>
    </sheetView>
  </sheetViews>
  <sheetFormatPr defaultColWidth="7.89166666666667" defaultRowHeight="18" outlineLevelRow="6"/>
  <cols>
    <col min="1" max="1" width="14.5583333333333" customWidth="1"/>
    <col min="2" max="2" width="25.4666666666667" customWidth="1"/>
    <col min="3" max="3" width="7.28333333333333" customWidth="1"/>
    <col min="4" max="4" width="9.1" customWidth="1"/>
    <col min="5" max="5" width="27.3" customWidth="1"/>
    <col min="6" max="6" width="40.0333333333333" customWidth="1"/>
    <col min="7" max="7" width="41.85" customWidth="1"/>
    <col min="8" max="8" width="16.3833333333333" customWidth="1"/>
    <col min="9" max="9" width="9.1" customWidth="1"/>
  </cols>
  <sheetData>
    <row r="1" ht="31.5" customHeight="1" spans="1:9">
      <c r="A1" s="1" t="s">
        <v>435</v>
      </c>
    </row>
    <row r="2" ht="27.75" customHeight="1" spans="1:9">
      <c r="A2" s="2" t="s">
        <v>103</v>
      </c>
      <c r="B2" s="2" t="s">
        <v>104</v>
      </c>
      <c r="C2" s="2" t="s">
        <v>105</v>
      </c>
      <c r="D2" s="2" t="s">
        <v>106</v>
      </c>
      <c r="E2" s="2" t="s">
        <v>107</v>
      </c>
      <c r="F2" s="2" t="s">
        <v>108</v>
      </c>
      <c r="G2" s="2" t="s">
        <v>109</v>
      </c>
      <c r="H2" s="2" t="s">
        <v>110</v>
      </c>
      <c r="I2" s="2" t="s">
        <v>111</v>
      </c>
    </row>
    <row r="3" ht="94.5" customHeight="1" spans="1:9">
      <c r="A3" s="3" t="s">
        <v>436</v>
      </c>
      <c r="B3" s="4" t="s">
        <v>437</v>
      </c>
      <c r="C3" s="5" t="s">
        <v>17</v>
      </c>
      <c r="D3" s="4" t="s">
        <v>114</v>
      </c>
      <c r="E3" s="4" t="s">
        <v>438</v>
      </c>
      <c r="F3" s="4" t="s">
        <v>439</v>
      </c>
      <c r="G3" s="4" t="s">
        <v>440</v>
      </c>
      <c r="H3" s="4" t="s">
        <v>441</v>
      </c>
      <c r="I3" s="6" t="s">
        <v>119</v>
      </c>
    </row>
    <row r="4" ht="94.5" customHeight="1" spans="1:9">
      <c r="A4" s="7" t="s">
        <v>442</v>
      </c>
      <c r="B4" s="8" t="s">
        <v>443</v>
      </c>
      <c r="C4" s="9" t="s">
        <v>17</v>
      </c>
      <c r="D4" s="8" t="s">
        <v>114</v>
      </c>
      <c r="E4" s="8" t="s">
        <v>444</v>
      </c>
      <c r="F4" s="8" t="s">
        <v>445</v>
      </c>
      <c r="G4" s="8" t="s">
        <v>446</v>
      </c>
      <c r="H4" s="8" t="s">
        <v>446</v>
      </c>
      <c r="I4" s="10" t="s">
        <v>119</v>
      </c>
    </row>
    <row r="5" ht="94.5" customHeight="1" spans="1:9">
      <c r="A5" s="3" t="s">
        <v>447</v>
      </c>
      <c r="B5" s="4" t="s">
        <v>448</v>
      </c>
      <c r="C5" s="5" t="s">
        <v>17</v>
      </c>
      <c r="D5" s="4" t="s">
        <v>114</v>
      </c>
      <c r="E5" s="4" t="s">
        <v>449</v>
      </c>
      <c r="F5" s="4" t="s">
        <v>450</v>
      </c>
      <c r="G5" s="4" t="s">
        <v>451</v>
      </c>
      <c r="H5" s="4" t="s">
        <v>452</v>
      </c>
      <c r="I5" s="6" t="s">
        <v>119</v>
      </c>
    </row>
    <row r="6" ht="94.5" customHeight="1" spans="1:9">
      <c r="A6" s="7" t="s">
        <v>453</v>
      </c>
      <c r="B6" s="8" t="s">
        <v>454</v>
      </c>
      <c r="C6" s="11" t="s">
        <v>16</v>
      </c>
      <c r="D6" s="8" t="s">
        <v>114</v>
      </c>
      <c r="E6" s="8" t="s">
        <v>455</v>
      </c>
      <c r="F6" s="8" t="s">
        <v>456</v>
      </c>
      <c r="G6" s="8" t="s">
        <v>457</v>
      </c>
      <c r="H6" s="8" t="s">
        <v>458</v>
      </c>
      <c r="I6" s="10" t="s">
        <v>119</v>
      </c>
    </row>
    <row r="7" ht="94.5" customHeight="1" spans="1:9">
      <c r="A7" s="3" t="s">
        <v>459</v>
      </c>
      <c r="B7" s="4" t="s">
        <v>460</v>
      </c>
      <c r="C7" s="5" t="s">
        <v>17</v>
      </c>
      <c r="D7" s="4" t="s">
        <v>114</v>
      </c>
      <c r="E7" s="4" t="s">
        <v>461</v>
      </c>
      <c r="F7" s="4" t="s">
        <v>462</v>
      </c>
      <c r="G7" s="4" t="s">
        <v>463</v>
      </c>
      <c r="H7" s="4" t="s">
        <v>464</v>
      </c>
      <c r="I7" s="6" t="s">
        <v>119</v>
      </c>
    </row>
  </sheetData>
  <mergeCells count="1">
    <mergeCell ref="A1:I1"/>
  </mergeCells>
  <dataValidations count="1">
    <dataValidation type="list" allowBlank="1" sqref="I3:I7">
      <formula1>"是,否,阻塞,不适用"</formula1>
    </dataValidation>
  </dataValidations>
  <pageMargins left="0.75" right="0.75" top="1" bottom="1" header="0.511811023622047" footer="0.511811023622047"/>
  <pageSetup paperSize="9" orientation="portrait" horizontalDpi="300" verticalDpi="300"/>
  <headerFooter/>
  <ignoredErrors>
    <ignoredError sqref="A1:I7" listDataValidation="1"/>
  </ignoredErrors>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10</vt:i4>
      </vt:variant>
    </vt:vector>
  </HeadingPairs>
  <TitlesOfParts>
    <vt:vector size="10" baseType="lpstr">
      <vt:lpstr>用例统计</vt:lpstr>
      <vt:lpstr>缺失分析与优化记录</vt:lpstr>
      <vt:lpstr>开关机制与防回溯</vt:lpstr>
      <vt:lpstr>奖励配置与券选择</vt:lpstr>
      <vt:lpstr>次数限制与触发条件</vt:lpstr>
      <vt:lpstr>券发放与回退链路</vt:lpstr>
      <vt:lpstr>并发一致性与异常容错</vt:lpstr>
      <vt:lpstr>C端展示与可见性</vt:lpstr>
      <vt:lpstr>权限审计与安全</vt:lpstr>
      <vt:lpstr>兼容性与回归</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初尘</cp:lastModifiedBy>
  <cp:revision>0</cp:revision>
  <dcterms:created xsi:type="dcterms:W3CDTF">2026-07-17T10:14:00Z</dcterms:created>
  <dcterms:modified xsi:type="dcterms:W3CDTF">2026-07-24T12:14:39Z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737112E03DAA4704A68760B861105B40_12</vt:lpwstr>
  </property>
  <property fmtid="{D5CDD505-2E9C-101B-9397-08002B2CF9AE}" pid="3" name="KSOProductBuildVer">
    <vt:lpwstr>2052-12.1.0.26895</vt:lpwstr>
  </property>
  <property fmtid="{D5CDD505-2E9C-101B-9397-08002B2CF9AE}" pid="4" name="CalculationRule">
    <vt:i4>0</vt:i4>
  </property>
</Properties>
</file>