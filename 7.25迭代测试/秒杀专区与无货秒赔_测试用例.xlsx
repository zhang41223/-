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tabRatio="500" firstSheet="3" activeTab="6"/>
  </bookViews>
  <sheets>
    <sheet name="用例统计" sheetId="1" r:id="rId1"/>
    <sheet name="秒杀专区-入口与页面展示" sheetId="2" r:id="rId2"/>
    <sheet name="秒杀专区-商品列表与活动时间" sheetId="3" r:id="rId3"/>
    <sheet name="秒杀专区-下单与状态流转" sheetId="4" r:id="rId4"/>
    <sheet name="秒杀专区-异常与边界处理" sheetId="5" r:id="rId5"/>
    <sheet name="无货秒赔-入口与规则展示" sheetId="6" r:id="rId6"/>
    <sheet name="无货秒赔-异常与边界处理" sheetId="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<sst xmlns="http://schemas.openxmlformats.org/spreadsheetml/2006/main" count="490" uniqueCount="272">
  <si>
    <t>前台秒杀专区与无货秒赔专区 - 测试用例统计</t>
  </si>
  <si>
    <t>优先级定义标准:</t>
  </si>
  <si>
    <t>P1(阻断级)</t>
  </si>
  <si>
    <t>核心主流程不可用/资金安全风险/数据丢失。发版前必须100%通过</t>
  </si>
  <si>
    <t>P2(核心功能)</t>
  </si>
  <si>
    <t>主要功能正确性问题，有临时绕过方案。发版前必须通过</t>
  </si>
  <si>
    <t>P3(重要功能)</t>
  </si>
  <si>
    <t>非核心功能异常或边界处理不当。发版前应通过</t>
  </si>
  <si>
    <t>P4(一般功能)</t>
  </si>
  <si>
    <t>UI展示问题/文案错误/非关键交互异常。发版后修复</t>
  </si>
  <si>
    <t>P5(优化建议)</t>
  </si>
  <si>
    <t>性能优化/样式微调/兼容性/无障碍。迭代优化</t>
  </si>
  <si>
    <t>模块</t>
  </si>
  <si>
    <t>端类型</t>
  </si>
  <si>
    <t>用例数</t>
  </si>
  <si>
    <t>P1</t>
  </si>
  <si>
    <t>P2</t>
  </si>
  <si>
    <t>P3</t>
  </si>
  <si>
    <t>P4</t>
  </si>
  <si>
    <t>P5</t>
  </si>
  <si>
    <t>秒杀专区-入口与页面展示</t>
  </si>
  <si>
    <t>H5端</t>
  </si>
  <si>
    <t>秒杀专区-商品列表与活动时间</t>
  </si>
  <si>
    <t>秒杀专区-下单与状态流转</t>
  </si>
  <si>
    <t>秒杀专区-异常与边界处理</t>
  </si>
  <si>
    <t>无货秒赔-入口与规则展示</t>
  </si>
  <si>
    <t>无货秒赔-异常与边界处理</t>
  </si>
  <si>
    <t>合计</t>
  </si>
  <si>
    <t>P1占比:</t>
  </si>
  <si>
    <t>前台秒杀与无货秒赔 - 秒杀专区 - 入口与页面展示</t>
  </si>
  <si>
    <t>用例编号</t>
  </si>
  <si>
    <t>测试项</t>
  </si>
  <si>
    <t>优先级</t>
  </si>
  <si>
    <t>归属版本</t>
  </si>
  <si>
    <t>前置条件</t>
  </si>
  <si>
    <t>输入/执行步骤</t>
  </si>
  <si>
    <t>预计结果</t>
  </si>
  <si>
    <t>实际结果</t>
  </si>
  <si>
    <t>是否通过</t>
  </si>
  <si>
    <t>SK-EN-001</t>
  </si>
  <si>
    <t>H5首页秒杀专区入口位置展示</t>
  </si>
  <si>
    <t>V1.0</t>
  </si>
  <si>
    <t>H5端首页已加载完成，存在进行中的秒杀活动</t>
  </si>
  <si>
    <t>1. 用户打开H5端首页
2. 查看秒杀专区入口位置
3. 核对入口是否在首页显著位置
4. 查看入口展示样式(图标+文案)</t>
  </si>
  <si>
    <t>H5端首页展示秒杀专区入口；入口位于首页显著位置(如banner下方或导航栏)；入口包含图标和「秒杀专区」文案；入口样式与整体UI风格一致</t>
  </si>
  <si>
    <t>展示正确</t>
  </si>
  <si>
    <t>PASS</t>
  </si>
  <si>
    <t>SK-EN-002</t>
  </si>
  <si>
    <t>秒杀入口图标和文案展示</t>
  </si>
  <si>
    <t>H5端首页已加载</t>
  </si>
  <si>
    <t>1. 查看秒杀入口图标是否加载正常
2. 查看文案内容
3. 在不同屏幕尺寸下查看入口展示
4. 查看入口是否有动效(如闪烁/跳动)</t>
  </si>
  <si>
    <t>秒杀入口图标加载正常无裂图；文案为「秒杀专区」或类似；不同屏幕尺寸下入口展示正常不错位；有动效吸引注意(如进行中时闪烁)</t>
  </si>
  <si>
    <t>展示正常</t>
  </si>
  <si>
    <t>SK-EN-003</t>
  </si>
  <si>
    <t>未登录用户秒杀入口可见性</t>
  </si>
  <si>
    <t>用户未登录，打开H5端首页</t>
  </si>
  <si>
    <t>1. 未登录状态下查看首页秒杀入口
2. 点击秒杀入口
3. 查看跳转后的页面
4. 查看是否引导登录</t>
  </si>
  <si>
    <t>未登录用户首页可见秒杀入口；点击入口跳转至秒杀专区页面；秒杀专区页面可浏览商品；下单时引导用户登录</t>
  </si>
  <si>
    <t>未登录用户对页面可见；但是商品详细信息必须要登录注册</t>
  </si>
  <si>
    <t>SK-EN-004</t>
  </si>
  <si>
    <t>活动未开始时入口展示状态</t>
  </si>
  <si>
    <t>存在未开始的秒杀活动，无进行中活动</t>
  </si>
  <si>
    <t>1. 查看首页秒杀入口状态
2. 查看入口是否有「即将开始」标识
3. 查看入口是否展示开始时间
4. 点击入口查看专区页面</t>
  </si>
  <si>
    <t>活动未开始时入口仍展示；入口有「即将开始」或开始时间标识；点击入口可进入专区查看预告商品；专区页面展示「距开始XX:XX:XX」倒计时</t>
  </si>
  <si>
    <t>可查看立即秒杀时间（倒计时可见），并且显示减少的价格</t>
  </si>
  <si>
    <t>SK-EN-005</t>
  </si>
  <si>
    <t>活动进行中入口高亮动效</t>
  </si>
  <si>
    <t>存在进行中的秒杀活动</t>
  </si>
  <si>
    <t>1. 查看首页秒杀入口状态
2. 查看入口是否有高亮/动效
3. 查看是否有「进行中」或「火热进行」标识
4. 点击入口进入专区</t>
  </si>
  <si>
    <t>活动进行中入口有高亮或动效；入口展示「进行中」或「火热抢购」标识；点击入口快速进入秒杀专区；专区页面默认展示进行中的商品</t>
  </si>
  <si>
    <t>SK-EN-006</t>
  </si>
  <si>
    <t>活动已结束入口隐藏或置灰</t>
  </si>
  <si>
    <t>所有秒杀活动均已结束，无进行中和未开始的活动</t>
  </si>
  <si>
    <t>1. 查看首页是否有秒杀入口
2. 若入口存在查看是否置灰
3. 点击入口查看跳转
4. 查看专区页面展示</t>
  </si>
  <si>
    <t>活动全部结束时入口隐藏或置灰展示；若入口置灰点击提示「暂无秒杀活动」；专区页面展示空状态或「暂无进行中的秒杀活动」</t>
  </si>
  <si>
    <t>功能正常，跳转进入秒杀页面</t>
  </si>
  <si>
    <t>SK-EN-007</t>
  </si>
  <si>
    <t>点击秒杀入口跳转专区页面</t>
  </si>
  <si>
    <t>1. 点击首页秒杀入口
2. 查看页面跳转
3. 查看跳转URL
4. 查看页面加载速度
5. 查看返回是否可回到首页</t>
  </si>
  <si>
    <t>点击入口成功跳转至秒杀专区页面；跳转URL正确；页面加载时间≤2秒；可通过返回按钮回到首页；跳转过程无白屏或闪烁</t>
  </si>
  <si>
    <t>页面加载正常；页面加载&lt;=1s跳转无白屏或者闪烁；</t>
  </si>
  <si>
    <t>SK-EN-008</t>
  </si>
  <si>
    <t>秒杀专区页面加载与空状态</t>
  </si>
  <si>
    <t>秒杀专区无任何商品或活动数据</t>
  </si>
  <si>
    <t>1. 进入秒杀专区页面
2. 查看页面加载状态
3. 查看空状态展示
4. 查看是否有引导文案
5. 下拉刷新查看</t>
  </si>
  <si>
    <t>专区页面正常加载无报错；无商品时展示空状态插画和文案；空状态文案友好(如「暂无秒杀商品，敬请期待」)；下拉刷新可重新加载；无商品时无报错弹窗</t>
  </si>
  <si>
    <t>展示口状态插画以及提示暂无数据</t>
  </si>
  <si>
    <t>前台秒杀与无货秒赔 - 秒杀专区 - 商品列表与活动时间</t>
  </si>
  <si>
    <t>SK-PL-001</t>
  </si>
  <si>
    <t>秒杀商品列表加载与展示</t>
  </si>
  <si>
    <t>秒杀专区有多个进行中的秒杀商品</t>
  </si>
  <si>
    <t>1. 进入秒杀专区页面
2. 查看商品列表加载
3. 核对商品数量与后台一致
4. 查看列表布局(单列/双列)</t>
  </si>
  <si>
    <t>商品列表正常加载；展示的商品数量与后台配置一致；列表布局合理(单列或双列)；商品按场次或开始时间排序；列表加载时间≤2秒</t>
  </si>
  <si>
    <t>单列正常排布，插在实际&lt;=2s</t>
  </si>
  <si>
    <t>SK-PL-002</t>
  </si>
  <si>
    <t>商品图片名称秒杀价原价展示</t>
  </si>
  <si>
    <t>秒杀专区有进行中的商品</t>
  </si>
  <si>
    <t>1. 查看秒杀商品卡片信息
2. 核对商品图片
3. 核对商品名称
4. 核对秒杀价和原价
5. 核对折扣力度展示</t>
  </si>
  <si>
    <t>商品图片清晰加载无变形；商品名称完整展示(超长截断或换行)；秒杀价突出展示(红色/大字号)；原价划线展示；折扣力度(如5折)清晰可见</t>
  </si>
  <si>
    <t>展示正常；原价划线显示秒杀价</t>
  </si>
  <si>
    <t>SK-PL-004</t>
  </si>
  <si>
    <t>秒杀倒计时展示与实时更新</t>
  </si>
  <si>
    <t>秒杀活动进行中，距结束还有1小时</t>
  </si>
  <si>
    <t>1. 查看秒杀商品倒计时展示
2. 核对倒计时时间准确性
3. 等待1分钟查看倒计时是否更新
4. 倒计时归零时查看状态变化</t>
  </si>
  <si>
    <t>倒计时展示格式为HH:MM:SS或XX分XX秒；倒计时时间与服务器时间一致；倒计时每秒自动更新；倒计时归零后商品状态变为已结束或已售罄</t>
  </si>
  <si>
    <t>秒杀倒计时实时变化</t>
  </si>
  <si>
    <t>SK-PL-005</t>
  </si>
  <si>
    <t>已售罄商品状态展示</t>
  </si>
  <si>
    <t>秒杀商品库存为0</t>
  </si>
  <si>
    <t>1. 查看已售罄商品卡片
2. 查看是否有「已抢光」标识
3. 查看按钮状态
4. 点击已售罄商品查看</t>
  </si>
  <si>
    <t>已售罄商品卡片展示「已抢光」或「已售罄」标识；抢购按钮置灰不可点击；商品图片可能添加售罄水印；点击商品可查看详情但无法下单</t>
  </si>
  <si>
    <t>SK-PL-006</t>
  </si>
  <si>
    <t>多场次秒杀切换</t>
  </si>
  <si>
    <t>存在多个秒杀场次(如10点场、14点场、20点场)</t>
  </si>
  <si>
    <t>1. 查看多场次tab展示
2. 点击未开始场次查看
3. 点击进行中场次查看
4. 点击已结束场次查看
5. 核对各场次商品列表</t>
  </si>
  <si>
    <t>多场次以tab或列表形式展示；未开始场次展示开始时间和预告商品；进行中场次高亮并展示可抢购商品；已结束场次展示已售罄状态；切换场次商品列表正确切换</t>
  </si>
  <si>
    <t>未设置分段秒杀时间</t>
  </si>
  <si>
    <t>TWD</t>
  </si>
  <si>
    <t>SK-PL-007</t>
  </si>
  <si>
    <t>秒杀商品筛选与排序</t>
  </si>
  <si>
    <t>秒杀专区有多个不同类型的商品</t>
  </si>
  <si>
    <t>1. 查看是否有筛选功能
2. 按商品类型筛选(如游戏/社交)
3. 按价格排序(从低到高)
4. 按折扣力度排序
5. 查看筛选结果</t>
  </si>
  <si>
    <t>专区支持按商品类型筛选；支持按价格/折扣排序；筛选和排序结果正确；筛选后无数据时展示空状态；筛选条件可清除重置</t>
  </si>
  <si>
    <t>多种筛选功能，筛选后无结果显示’暂无数据‘；可以一键清空重置</t>
  </si>
  <si>
    <t>SK-PL-008</t>
  </si>
  <si>
    <t>商品列表分页与滚动加载</t>
  </si>
  <si>
    <t>秒杀商品数量超过一屏</t>
  </si>
  <si>
    <t>1. 滚动查看商品列表
2. 查看是否自动加载更多
3. 查看分页加载性能
4. 快速滚动查看是否有白屏
5. 滚动到底部查看</t>
  </si>
  <si>
    <t>商品列表支持滚动加载或分页；滚动到底部自动加载下一页；加载过程有loading提示；快速滚动无白屏或卡顿；无更多数据时展示「没有更多了」</t>
  </si>
  <si>
    <t>滚动页面自动加载商品，快速滚动显示在加载中</t>
  </si>
  <si>
    <t>前台秒杀与无货秒赔 - 秒杀专区 - 下单与库存控制</t>
  </si>
  <si>
    <t>SK-OD-001</t>
  </si>
  <si>
    <t>秒杀商品下单流程</t>
  </si>
  <si>
    <t>用户已登录，秒杀商品有库存且活动进行中</t>
  </si>
  <si>
    <t>1. 点击秒杀商品进入详情/直接点击抢购
2. 选择租赁期限
3. 确认订单信息
4. 提交订单
5. 查看订单结果</t>
  </si>
  <si>
    <t>点击抢购进入下单流程；可选择租赁期限；订单信息展示秒杀价和原价对比；提交订单成功并生成订单号；跳转至支付页面或订单详情</t>
  </si>
  <si>
    <t>功能流转正常</t>
  </si>
  <si>
    <t>SK-OD-002</t>
  </si>
  <si>
    <t>秒杀库存实时扣减</t>
  </si>
  <si>
    <t>秒杀商品剩余库存为5件</t>
  </si>
  <si>
    <t>1. 用户A下单抢购1件
2. 查看库存是否变为4件
3. 用户B同时下单抢购1件
4. 查看库存是否变为3件
5. 查看进度条更新</t>
  </si>
  <si>
    <t>下单成功后库存实时扣减；扣减后列表和详情页库存同步更新；进度条同步更新；库存为0时自动变为售罄状态；库存扣减与订单生成原子性保证</t>
  </si>
  <si>
    <t>下单数据实时同步，下单以先付款的为准</t>
  </si>
  <si>
    <t>SK-OD-003</t>
  </si>
  <si>
    <t>单用户限购规则校验</t>
  </si>
  <si>
    <t>系统未用户对秒杀数量进行限制</t>
  </si>
  <si>
    <t>1. 用户已抢购1件后再次进入秒杀专区
2. 查看该商品抢购按钮状态
3. 尝试再次下单
4. 查看是否有提示</t>
  </si>
  <si>
    <t>无提示，用户可以随意购买；下单成功后订单在秒杀页面消失</t>
  </si>
  <si>
    <t>SK-OD-004</t>
  </si>
  <si>
    <t>秒杀成功订单生成</t>
  </si>
  <si>
    <t>用户已登录，秒杀商品有库存</t>
  </si>
  <si>
    <t>1. 用户提交秒杀订单
2. 查看订单是否生成
3. 核对订单金额(秒杀价)
4. 核对订单商品信息
5. 查看订单状态</t>
  </si>
  <si>
    <t>秒杀成功后订单正常生成；订单金额为秒杀价而非原价；订单商品信息与秒杀商品一致；订单状态为待支付或已确认；订单关联秒杀活动ID</t>
  </si>
  <si>
    <t>秒杀成功后订单正常生成；订单金额为秒杀价而非原价；订单商品信息与秒杀商品一致；订单状态变为为待支付或已确认；订单关联秒杀活动ID</t>
  </si>
  <si>
    <t>SK-OD-005</t>
  </si>
  <si>
    <t>秒杀成功页面跳转与提示</t>
  </si>
  <si>
    <t>用户已成功提交秒杀订单</t>
  </si>
  <si>
    <t>1. 提交订单成功后查看页面
2. 查看是否有成功提示
3. 查看页面跳转
4. 查看订单详情入口
5. 查看支付倒计时</t>
  </si>
  <si>
    <t>下单成功后展示成功提示(如「抢购成功」)；页面跳转至订单详情或支付页；有查看订单详情入口；若有支付时限则展示支付倒计时；成功提示展示2-3秒后自动跳转</t>
  </si>
  <si>
    <t>点击秒杀按钮，跳转到支付页面，显示支付时效</t>
  </si>
  <si>
    <t>前台秒杀与无货秒赔 - 秒杀专区 - 异常与边界处理</t>
  </si>
  <si>
    <t>SK-EX-001</t>
  </si>
  <si>
    <t>并发秒杀库存防超卖</t>
  </si>
  <si>
    <t>秒杀商品剩余库存为1件，多个用户同时抢购</t>
  </si>
  <si>
    <t>1. 构造10个用户同时下单抢购最后1件库存
2. 查看最终成功下单数量
3. 查看库存是否变为0
4. 查看其他9个用户的下单结果
5. 查看是否有重复扣减</t>
  </si>
  <si>
    <t>仅1个用户成功下单；库存正确扣减为0；其余9个用户下单失败提示「已抢光」；无超卖现象(成功数≤库存数)；后端使用分布式锁或原子操作保证</t>
  </si>
  <si>
    <t>只成功一个用户，第一个成功付款的用户未准</t>
  </si>
  <si>
    <t>SK-EX-002</t>
  </si>
  <si>
    <t>网络异常下单重试</t>
  </si>
  <si>
    <t>用户秒杀下单时网络不稳定</t>
  </si>
  <si>
    <t>1. 用户点击抢购时断开网络
2. 查看页面提示
3. 恢复网络后查看
4. 查看是否需要重新提交
5. 查看订单状态</t>
  </si>
  <si>
    <t>网络断开时提示「网络异常请重试」；恢复网络后可重新提交；不生成重复订单；若已提交成功则提示「已抢购成功」；订单状态与实际一致</t>
  </si>
  <si>
    <t>显示网络请求失败，请重试，网络恢复后可出现提交</t>
  </si>
  <si>
    <t>SK-EX-003</t>
  </si>
  <si>
    <t>重复点击下单防抖</t>
  </si>
  <si>
    <t>用户快速多次点击抢购按钮</t>
  </si>
  <si>
    <t>1. 用户快速连续点击抢购按钮5次
2. 查看是否只提交一次请求
3. 查看按钮状态变化
4. 查看订单生成数量
5. 查看接口调用次数</t>
  </si>
  <si>
    <t>快速连续点击仅提交一次请求；点击后按钮置灰或显示loading；不生成多个订单；接口仅调用一次；防抖时间≥1秒</t>
  </si>
  <si>
    <t>连续点击只会提交异常，并且提示请勿重复点击；接口只调用一次</t>
  </si>
  <si>
    <t>SK-EX-004</t>
  </si>
  <si>
    <t>秒杀下单超时处理</t>
  </si>
  <si>
    <t>秒杀下单请求超时(后端响应超过10秒)</t>
  </si>
  <si>
    <t>1. 模拟下单请求超时
2. 查看页面loading状态
3. 查看超时后提示
4. 查看是否自动重试
5. 查看库存是否已扣减</t>
  </si>
  <si>
    <t>下单请求超时后页面提示「请求超时请重试」；loading状态自动消失；不自动重试(需用户手动)；后端已扣减库存则提示「已抢购成功」；未扣减则可重新下单</t>
  </si>
  <si>
    <t>页面提示请求超时，请重新下单</t>
  </si>
  <si>
    <t>SK-EX-005</t>
  </si>
  <si>
    <t>库存为0时按钮状态</t>
  </si>
  <si>
    <t>秒杀商品库存刚好为0</t>
  </si>
  <si>
    <t>1. 查看库存为0时按钮状态
2. 查看按钮文案
3. 查看按钮是否可点击
4. 查看商品卡片是否有售罄标识
5. 查看进度条是否满格</t>
  </si>
  <si>
    <t>库存为0时按钮置灰不可点击；按钮文案变为「已抢光」；商品卡片有售罄标识；进度条满格展示100%；状态实时更新无延迟</t>
  </si>
  <si>
    <t>秒杀专区消失</t>
  </si>
  <si>
    <t>FAIL</t>
  </si>
  <si>
    <t>SK-EX-006</t>
  </si>
  <si>
    <t>秒杀活动结束瞬间下单处理</t>
  </si>
  <si>
    <t>用户在秒杀活动即将结束(剩余1秒)时下单</t>
  </si>
  <si>
    <t>1. 用户在活动结束前1秒点击抢购
2. 查看请求到达后端时活动是否已结束
3. 查看下单结果
4. 查看库存是否扣减
5. 查看提示信息</t>
  </si>
  <si>
    <t>若请求到达时活动已结束则下单失败；提示「活动已结束」；不扣减库存；若请求到达时活动未结束则正常下单；后端以服务器时间为准判断</t>
  </si>
  <si>
    <t>以下单时间为准，下单之前结束，提示下单失败；下单完成只会结束，无影响</t>
  </si>
  <si>
    <t>前台秒杀与无货秒赔 - 无货秒赔 - 入口与规则展示</t>
  </si>
  <si>
    <t>CP-EN-001</t>
  </si>
  <si>
    <t>H5首页无货秒赔入口展示</t>
  </si>
  <si>
    <t>H5端首页已加载，无货秒赔功能已上线</t>
  </si>
  <si>
    <t>1. 用户打开H5端首页
2. 查看无货秒赔入口位置
3. 核对入口图标和文案
4. 查看入口与秒杀入口的区分</t>
  </si>
  <si>
    <t>H5端首页展示无货秒赔专区入口；入口位置合理(如秒杀入口附近或服务保障区域)；入口包含图标和「无货秒赔」文案；与秒杀专区入口有明确区分(不同图标/颜色)</t>
  </si>
  <si>
    <t>CP-EN-002</t>
  </si>
  <si>
    <t>无货秒赔入口图标和文案展示</t>
  </si>
  <si>
    <t>1. 查看入口图标是否正常加载
2. 查看文案内容
3. 查看入口样式
4. 在不同屏幕尺寸下查看</t>
  </si>
  <si>
    <t>入口图标加载正常无裂图；文案为「无货秒赔」或「无货赔付」；入口样式与整体UI一致；不同屏幕尺寸下展示正常</t>
  </si>
  <si>
    <t>CP-EN-003</t>
  </si>
  <si>
    <t>点击无货秒赔入口跳转专区</t>
  </si>
  <si>
    <t>无货秒赔功能已上线</t>
  </si>
  <si>
    <t>1. 点击首页无货秒赔入口
2. 查看页面跳转
3. 查看跳转URL
4. 查看页面加载速度
5. 查看返回操作</t>
  </si>
  <si>
    <t>点击入口成功跳转至无货秒赔专区页面；跳转URL正确；页面加载时间≤2秒；可通过返回按钮回到首页；跳转无白屏</t>
  </si>
  <si>
    <t>功能正常，跳转时间&lt;=2s，可通过返回按钮返回首页</t>
  </si>
  <si>
    <t>CP-EN-004</t>
  </si>
  <si>
    <t>无货秒赔规则说明展示</t>
  </si>
  <si>
    <t>无货秒赔专区页面已加载</t>
  </si>
  <si>
    <t>1. 查看专区页面规则说明区域
2. 核对秒赔规则文案
3. 查看适用条件
4. 查看赔付标准
5. 查看是否有FAQ</t>
  </si>
  <si>
    <t>专区页面展示秒赔规则说明；规则文案清晰易懂；展示适用条件(如无货定义、申请时限)；展示赔付标准(如全额退款+额外赔付)；有常见问题FAQ</t>
  </si>
  <si>
    <t>CP-EN-005</t>
  </si>
  <si>
    <t>无货秒赔商品列表展示</t>
  </si>
  <si>
    <t>无货秒赔专区有可申请秒赔的商品</t>
  </si>
  <si>
    <t>1. 查看秒赔商品列表
2. 核对商品信息展示
3. 查看商品状态标识
4. 查看申请按钮
5. 查看列表排序</t>
  </si>
  <si>
    <t>专区展示可申请秒赔的商品列表；商品信息包含图片/名称/租赁信息；商品状态标识清晰(如「无货」「可申请秒赔」)；每条商品有「申请秒赔」按钮；列表按时间或状态排序</t>
  </si>
  <si>
    <t>CP-EN-006</t>
  </si>
  <si>
    <t>无货秒赔专区空状态展示</t>
  </si>
  <si>
    <t>用户无符合秒赔条件的订单</t>
  </si>
  <si>
    <t>1. 进入无货秒赔专区
2. 查看空状态展示
3. 查看引导文案
4. 查看是否有客服入口
5. 查看刷新功能</t>
  </si>
  <si>
    <t>无符合条件商品时展示空状态；空状态文案友好(如「暂无需要秒赔的订单」)；有引导文案说明秒赔条件；空状态页面有客服咨询入口；支持下拉刷新</t>
  </si>
  <si>
    <t>CP-EN-007</t>
  </si>
  <si>
    <t>秒赔入口与秒杀入口区分</t>
  </si>
  <si>
    <t>H5端首页同时展示秒杀专区和无货秒赔专区入口</t>
  </si>
  <si>
    <t>1. 查看两个入口的位置关系
2. 核对图标差异
3. 核对文案差异
4. 核对颜色/样式差异
5. 分别点击确认跳转正确</t>
  </si>
  <si>
    <t>两个入口位置相近但有明确区分；图标不同(秒杀vs秒赔)；文案不同(「秒杀专区」vs「无货秒赔」)；颜色或样式有区分；点击各自跳转至正确页面</t>
  </si>
  <si>
    <t>有明确区分；图标文案不同；颜色样式分辨清楚</t>
  </si>
  <si>
    <t>前台秒杀与无货秒赔 - 无货秒赔 - 异常与边界处理</t>
  </si>
  <si>
    <t>CP-EX-001</t>
  </si>
  <si>
    <t>重复申请秒赔拦截</t>
  </si>
  <si>
    <t>用户已对某无货订单提交秒赔申请</t>
  </si>
  <si>
    <t>1. 用户对同一订单再次申请秒赔
2. 查看是否被拦截
3. 查看提示信息
4. 通过接口重复提交
5. 查看申请记录</t>
  </si>
  <si>
    <t>同一订单重复申请被前端拦截；提示「该订单已提交秒赔申请」；通过接口重复提交被后端拦截；每个订单仅允许一次秒赔申请；申请记录无重复</t>
  </si>
  <si>
    <t>提示「该订单已提交秒赔申请」；并且通过接口重复提交被后端拦截</t>
  </si>
  <si>
    <t>CP-EX-002</t>
  </si>
  <si>
    <t>非无货商品申请秒赔拦截</t>
  </si>
  <si>
    <t>用户订单商品状态为正常发货，非无货状态</t>
  </si>
  <si>
    <t>1. 查看正常订单是否显示秒赔入口
2. 尝试通过URL直接访问申请页
3. 通过接口提交秒赔申请
4. 查看拦截提示
5. 查看订单状态判断逻辑</t>
  </si>
  <si>
    <t>正常发货订单不展示秒赔申请入口；通过URL访问申请页展示「该订单不符合秒赔条件」；接口提交被后端状态校验拦截；拦截提示清晰；后端以订单实际状态为准</t>
  </si>
  <si>
    <t>以后台订单状态为准</t>
  </si>
  <si>
    <t>CP-EX-003</t>
  </si>
  <si>
    <t>秒赔申请次数限制</t>
  </si>
  <si>
    <t>用户有多个无货订单，尝试全部申请秒赔</t>
  </si>
  <si>
    <t>1. 查看用户可申请秒赔的订单数量
2. 逐一提交秒赔申请
3. 查看是否有次数限制
4. 查看申请记录数量
5. 查看是否有限制提示</t>
  </si>
  <si>
    <t>用户可对多个不同无货订单分别申请秒赔；每个订单独立申请互不影响；申请记录完整展示；若有次数限制则提示「本月已达秒赔申请上限」；无限制时全部可申请</t>
  </si>
  <si>
    <t>每个订单独立的，用户可以对多个订单进行申请</t>
  </si>
  <si>
    <t>CP-EX-004</t>
  </si>
  <si>
    <t>秒赔到账失败重试</t>
  </si>
  <si>
    <t>秒赔审核通过但赔付到账失败(如余额系统异常)</t>
  </si>
  <si>
    <t>1. 查看到账失败状态
2. 查看失败原因
3. 查看是否自动重试
4. 查看重试次数和间隔
5. 查看最终到账结果</t>
  </si>
  <si>
    <t>到账失败后状态标识为「到账失败」；展示失败原因(如系统繁忙)；系统自动重试(间隔5分钟/30分钟/2小时)；重试3次仍失败则转人工处理；最终到账后状态更新为「已到账」</t>
  </si>
  <si>
    <t>到账失败不在用户端显示问题，系统自动重试，到账了才会显示【已到账】</t>
  </si>
  <si>
    <t>CP-EX-005</t>
  </si>
  <si>
    <t>秒赔记录历史查询</t>
  </si>
  <si>
    <t>用户有多条历史秒赔申请记录</t>
  </si>
  <si>
    <t>1. 进入秒赔记录页面
2. 查看历史记录列表
3. 按状态筛选(全部/通过/驳回)
4. 按时间排序
5. 查看记录详情</t>
  </si>
  <si>
    <t>账单记录页面展示所有历史申请；列表包含申请编号/订单号/申请时间/状态/金额；支持按状态筛选；支持按时间排序(最新优先)；点击记录可查看详情</t>
  </si>
  <si>
    <t>账单记录页面展示所有历史申请；列表包含申请编号/订单号/申请时间/状态/金额；按状态筛选；按时间排序(最新优先)；点击记录可查看详情</t>
  </si>
  <si>
    <t>CP-EX-006</t>
  </si>
  <si>
    <t>客服介入秒赔流程</t>
  </si>
  <si>
    <t>用户对秒赔审核结果有异议</t>
  </si>
  <si>
    <t>1. 用户在秒赔记录页点击「联系客服」
2. 查看客服咨询入口
3. 提交问题描述
4. 查看客服回复
5. 查看客服处理结果</t>
  </si>
  <si>
    <t>秒赔记录页有「联系客服」入口；可跳转至在线客服或提交工单；客服可查看秒赔申请详情；客服处理后结果同步至秒赔记录；客服介入有记录可追溯</t>
  </si>
  <si>
    <t>客服可查看用户信息/订单信息/商品信息/个独立判断用户问题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</si>
</sst>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6">
    <font>
      <sz val="11"/>
      <color theme="1"/>
      <name val="Noto Sans SC"/>
      <charset val="134"/>
    </font>
    <font>
      <b/>
      <sz val="14"/>
      <color rgb="FF1F2937"/>
      <name val="微软雅黑"/>
      <charset val="1"/>
    </font>
    <font>
      <b/>
      <sz val="11"/>
      <color rgb="FFFFFFFF"/>
      <name val="微软雅黑"/>
      <charset val="1"/>
    </font>
    <font>
      <b/>
      <sz val="10"/>
      <color rgb="FF1F2937"/>
      <name val="微软雅黑"/>
      <charset val="1"/>
    </font>
    <font>
      <sz val="10"/>
      <name val="微软雅黑"/>
      <charset val="1"/>
    </font>
    <font>
      <b/>
      <sz val="10"/>
      <color rgb="FFEA580C"/>
      <name val="微软雅黑"/>
      <charset val="1"/>
    </font>
    <font>
      <b/>
      <sz val="10"/>
      <color rgb="FF4472C4"/>
      <name val="微软雅黑"/>
      <charset val="1"/>
    </font>
    <font>
      <b/>
      <sz val="10"/>
      <color rgb="FF00B050"/>
      <name val="微软雅黑"/>
      <charset val="1"/>
    </font>
    <font>
      <sz val="10"/>
      <color rgb="FF2563EB"/>
      <name val="微软雅黑"/>
      <charset val="1"/>
    </font>
    <font>
      <sz val="10"/>
      <color rgb="FF6B7280"/>
      <name val="微软雅黑"/>
      <charset val="1"/>
    </font>
    <font>
      <b/>
      <sz val="10"/>
      <color rgb="FFDC2626"/>
      <name val="微软雅黑"/>
      <charset val="1"/>
    </font>
    <font>
      <b/>
      <sz val="10"/>
      <color rgb="FFFF0000"/>
      <name val="微软雅黑"/>
      <charset val="1"/>
    </font>
    <font>
      <b/>
      <sz val="10"/>
      <color theme="9" tint="-0.25"/>
      <name val="微软雅黑"/>
      <charset val="1"/>
    </font>
    <font>
      <b/>
      <sz val="11"/>
      <color rgb="FF1F2937"/>
      <name val="微软雅黑"/>
      <charset val="1"/>
    </font>
    <font>
      <sz val="10"/>
      <color rgb="FF9CA3AF"/>
      <name val="微软雅黑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4472C4"/>
        <bgColor rgb="FF2563EB"/>
      </patternFill>
    </fill>
    <fill>
      <patternFill patternType="solid">
        <fgColor rgb="FFFFFFFF"/>
        <bgColor rgb="FFF7F9FC"/>
      </patternFill>
    </fill>
    <fill>
      <patternFill patternType="solid">
        <fgColor rgb="FFF7F9FC"/>
        <bgColor rgb="FFFFFFFF"/>
      </patternFill>
    </fill>
    <fill>
      <patternFill patternType="solid">
        <fgColor rgb="FFEAF2FF"/>
        <bgColor rgb="FFF7F9F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EE7"/>
      </left>
      <right style="thin">
        <color rgb="FFD9DEE7"/>
      </right>
      <top style="thin">
        <color rgb="FFD9DEE7"/>
      </top>
      <bottom style="thin">
        <color rgb="FFD9DEE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5" fillId="0" borderId="0" applyBorder="0" applyAlignment="0" applyProtection="0"/>
    <xf numFmtId="44" fontId="15" fillId="0" borderId="0" applyBorder="0" applyAlignment="0" applyProtection="0"/>
    <xf numFmtId="9" fontId="15" fillId="0" borderId="0" applyBorder="0" applyAlignment="0" applyProtection="0"/>
    <xf numFmtId="41" fontId="15" fillId="0" borderId="0" applyBorder="0" applyAlignment="0" applyProtection="0"/>
    <xf numFmtId="42" fontId="15" fillId="0" borderId="0" applyBorder="0" applyAlignment="0" applyProtection="0"/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6" borderId="2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3" fillId="0" borderId="3" applyNumberFormat="0" applyFill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7" borderId="5" applyNumberFormat="0" applyAlignment="0" applyProtection="0">
      <alignment vertical="center"/>
    </xf>
    <xf numFmtId="0" fontId="26" fillId="8" borderId="6" applyNumberFormat="0" applyAlignment="0" applyProtection="0">
      <alignment vertical="center"/>
    </xf>
    <xf numFmtId="0" fontId="27" fillId="8" borderId="5" applyNumberFormat="0" applyAlignment="0" applyProtection="0">
      <alignment vertical="center"/>
    </xf>
    <xf numFmtId="0" fontId="28" fillId="9" borderId="7" applyNumberFormat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</cellStyleXfs>
  <cellXfs count="31">
    <xf numFmtId="0" fontId="0" fillId="0" borderId="0" xfId="0"/>
    <xf numFmtId="0" fontId="1" fillId="0" borderId="0" xfId="0" applyFont="1" applyBorder="1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top" wrapText="1"/>
    </xf>
    <xf numFmtId="0" fontId="4" fillId="3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top" wrapText="1"/>
    </xf>
    <xf numFmtId="0" fontId="4" fillId="4" borderId="1" xfId="0" applyFont="1" applyFill="1" applyBorder="1" applyAlignment="1">
      <alignment horizontal="left" vertical="top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13" fillId="0" borderId="0" xfId="0" applyFont="1"/>
    <xf numFmtId="0" fontId="10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5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14" fillId="0" borderId="1" xfId="0" applyFont="1" applyBorder="1"/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0" fillId="0" borderId="0" xfId="0" applyFont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7F9FC"/>
      <rgbColor rgb="00EAF2FF"/>
      <rgbColor rgb="00660066"/>
      <rgbColor rgb="00FF8080"/>
      <rgbColor rgb="004472C4"/>
      <rgbColor rgb="00D9DEE7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2563EB"/>
      <rgbColor rgb="0033CCCC"/>
      <rgbColor rgb="0099CC00"/>
      <rgbColor rgb="00FFCC00"/>
      <rgbColor rgb="00FF9900"/>
      <rgbColor rgb="00EA580C"/>
      <rgbColor rgb="006B7280"/>
      <rgbColor rgb="009CA3AF"/>
      <rgbColor rgb="00003366"/>
      <rgbColor rgb="00339966"/>
      <rgbColor rgb="00003300"/>
      <rgbColor rgb="00333300"/>
      <rgbColor rgb="00993300"/>
      <rgbColor rgb="00993366"/>
      <rgbColor rgb="00333399"/>
      <rgbColor rgb="001F293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"/>
  <sheetViews>
    <sheetView workbookViewId="0">
      <selection activeCell="K17" sqref="K17"/>
    </sheetView>
  </sheetViews>
  <sheetFormatPr defaultColWidth="7.89166666666667" defaultRowHeight="18" outlineLevelCol="7"/>
  <cols>
    <col min="1" max="1" width="25.4666666666667" customWidth="1"/>
    <col min="2" max="2" width="9.1" customWidth="1"/>
    <col min="3" max="8" width="7.28333333333333" customWidth="1"/>
  </cols>
  <sheetData>
    <row r="1" ht="21" spans="1:8">
      <c r="A1" s="1" t="s">
        <v>0</v>
      </c>
      <c r="B1" s="1"/>
      <c r="C1" s="1"/>
      <c r="D1" s="1"/>
      <c r="E1" s="1"/>
      <c r="F1" s="1"/>
      <c r="G1" s="1"/>
      <c r="H1" s="1"/>
    </row>
    <row r="3" spans="1:8">
      <c r="A3" s="20" t="s">
        <v>1</v>
      </c>
    </row>
    <row r="4" ht="15" customHeight="1" spans="1:8">
      <c r="A4" s="21" t="s">
        <v>2</v>
      </c>
      <c r="B4" s="22" t="s">
        <v>3</v>
      </c>
      <c r="C4" s="22"/>
      <c r="D4" s="22"/>
      <c r="E4" s="22"/>
      <c r="F4" s="22"/>
      <c r="G4" s="22"/>
      <c r="H4" s="22"/>
    </row>
    <row r="5" ht="15" customHeight="1" spans="1:8">
      <c r="A5" s="23" t="s">
        <v>4</v>
      </c>
      <c r="B5" s="22" t="s">
        <v>5</v>
      </c>
      <c r="C5" s="22"/>
      <c r="D5" s="22"/>
      <c r="E5" s="22"/>
      <c r="F5" s="22"/>
      <c r="G5" s="22"/>
      <c r="H5" s="22"/>
    </row>
    <row r="6" ht="15" customHeight="1" spans="1:8">
      <c r="A6" s="24" t="s">
        <v>6</v>
      </c>
      <c r="B6" s="22" t="s">
        <v>7</v>
      </c>
      <c r="C6" s="22"/>
      <c r="D6" s="22"/>
      <c r="E6" s="22"/>
      <c r="F6" s="22"/>
      <c r="G6" s="22"/>
      <c r="H6" s="22"/>
    </row>
    <row r="7" ht="15" customHeight="1" spans="1:8">
      <c r="A7" s="25" t="s">
        <v>8</v>
      </c>
      <c r="B7" s="22" t="s">
        <v>9</v>
      </c>
      <c r="C7" s="22"/>
      <c r="D7" s="22"/>
      <c r="E7" s="22"/>
      <c r="F7" s="22"/>
      <c r="G7" s="22"/>
      <c r="H7" s="22"/>
    </row>
    <row r="8" ht="15" customHeight="1" spans="1:8">
      <c r="A8" s="26" t="s">
        <v>10</v>
      </c>
      <c r="B8" s="22" t="s">
        <v>11</v>
      </c>
      <c r="C8" s="22"/>
      <c r="D8" s="22"/>
      <c r="E8" s="22"/>
      <c r="F8" s="22"/>
      <c r="G8" s="22"/>
      <c r="H8" s="22"/>
    </row>
    <row r="11" spans="1:8">
      <c r="A11" s="2" t="s">
        <v>12</v>
      </c>
      <c r="B11" s="2" t="s">
        <v>13</v>
      </c>
      <c r="C11" s="2" t="s">
        <v>14</v>
      </c>
      <c r="D11" s="2" t="s">
        <v>15</v>
      </c>
      <c r="E11" s="2" t="s">
        <v>16</v>
      </c>
      <c r="F11" s="2" t="s">
        <v>17</v>
      </c>
      <c r="G11" s="2" t="s">
        <v>18</v>
      </c>
      <c r="H11" s="2" t="s">
        <v>19</v>
      </c>
    </row>
    <row r="12" spans="1:8">
      <c r="A12" s="4" t="s">
        <v>20</v>
      </c>
      <c r="B12" s="27" t="s">
        <v>21</v>
      </c>
      <c r="C12" s="27">
        <f>COUNTA('秒杀专区-入口与页面展示'!A3:A200)</f>
        <v>8</v>
      </c>
      <c r="D12" s="27">
        <f>COUNTIF('秒杀专区-入口与页面展示'!C3:C200,"P1")</f>
        <v>0</v>
      </c>
      <c r="E12" s="27">
        <f>COUNTIF('秒杀专区-入口与页面展示'!C3:C200,"P2")</f>
        <v>2</v>
      </c>
      <c r="F12" s="27">
        <f>COUNTIF('秒杀专区-入口与页面展示'!C3:C200,"P3")</f>
        <v>5</v>
      </c>
      <c r="G12" s="27">
        <f>COUNTIF('秒杀专区-入口与页面展示'!C3:C200,"P4")</f>
        <v>1</v>
      </c>
      <c r="H12" s="27">
        <f>COUNTIF('秒杀专区-入口与页面展示'!C3:C200,"P5")</f>
        <v>0</v>
      </c>
    </row>
    <row r="13" spans="1:8">
      <c r="A13" s="9" t="s">
        <v>22</v>
      </c>
      <c r="B13" s="28" t="s">
        <v>21</v>
      </c>
      <c r="C13" s="28">
        <f>COUNTA('秒杀专区-商品列表与活动时间'!A3:A199)</f>
        <v>7</v>
      </c>
      <c r="D13" s="28">
        <f>COUNTIF('秒杀专区-商品列表与活动时间'!C3:C199,"P1")</f>
        <v>1</v>
      </c>
      <c r="E13" s="28">
        <f>COUNTIF('秒杀专区-商品列表与活动时间'!C3:C199,"P2")</f>
        <v>3</v>
      </c>
      <c r="F13" s="28">
        <f>COUNTIF('秒杀专区-商品列表与活动时间'!C3:C199,"P3")</f>
        <v>2</v>
      </c>
      <c r="G13" s="28">
        <f>COUNTIF('秒杀专区-商品列表与活动时间'!C3:C199,"P4")</f>
        <v>1</v>
      </c>
      <c r="H13" s="28">
        <f>COUNTIF('秒杀专区-商品列表与活动时间'!C3:C199,"P5")</f>
        <v>0</v>
      </c>
    </row>
    <row r="14" spans="1:8">
      <c r="A14" s="4" t="s">
        <v>23</v>
      </c>
      <c r="B14" s="27" t="s">
        <v>21</v>
      </c>
      <c r="C14" s="27">
        <f>COUNTA('秒杀专区-下单与状态流转'!A3:A197)</f>
        <v>5</v>
      </c>
      <c r="D14" s="27">
        <f>COUNTIF('秒杀专区-下单与状态流转'!C3:C197,"P1")</f>
        <v>3</v>
      </c>
      <c r="E14" s="27">
        <f>COUNTIF('秒杀专区-下单与状态流转'!C3:C197,"P2")</f>
        <v>2</v>
      </c>
      <c r="F14" s="27">
        <f>COUNTIF('秒杀专区-下单与状态流转'!C3:C197,"P3")</f>
        <v>0</v>
      </c>
      <c r="G14" s="27">
        <f>COUNTIF('秒杀专区-下单与状态流转'!C3:C197,"P4")</f>
        <v>0</v>
      </c>
      <c r="H14" s="27">
        <f>COUNTIF('秒杀专区-下单与状态流转'!C3:C197,"P5")</f>
        <v>0</v>
      </c>
    </row>
    <row r="15" spans="1:8">
      <c r="A15" s="9" t="s">
        <v>24</v>
      </c>
      <c r="B15" s="28" t="s">
        <v>21</v>
      </c>
      <c r="C15" s="28">
        <f>COUNTA('秒杀专区-异常与边界处理'!A3:A200)</f>
        <v>6</v>
      </c>
      <c r="D15" s="28">
        <f>COUNTIF('秒杀专区-异常与边界处理'!C3:C200,"P1")</f>
        <v>1</v>
      </c>
      <c r="E15" s="28">
        <f>COUNTIF('秒杀专区-异常与边界处理'!C3:C200,"P2")</f>
        <v>4</v>
      </c>
      <c r="F15" s="28">
        <f>COUNTIF('秒杀专区-异常与边界处理'!C3:C200,"P3")</f>
        <v>1</v>
      </c>
      <c r="G15" s="28">
        <f>COUNTIF('秒杀专区-异常与边界处理'!C3:C200,"P4")</f>
        <v>0</v>
      </c>
      <c r="H15" s="28">
        <f>COUNTIF('秒杀专区-异常与边界处理'!C3:C200,"P5")</f>
        <v>0</v>
      </c>
    </row>
    <row r="16" spans="1:8">
      <c r="A16" s="4" t="s">
        <v>25</v>
      </c>
      <c r="B16" s="27" t="s">
        <v>21</v>
      </c>
      <c r="C16" s="27">
        <f>COUNTA('无货秒赔-入口与规则展示'!A3:A200)</f>
        <v>7</v>
      </c>
      <c r="D16" s="27">
        <f>COUNTIF('无货秒赔-入口与规则展示'!C3:C200,"P1")</f>
        <v>0</v>
      </c>
      <c r="E16" s="27">
        <f>COUNTIF('无货秒赔-入口与规则展示'!C3:C200,"P2")</f>
        <v>3</v>
      </c>
      <c r="F16" s="27">
        <f>COUNTIF('无货秒赔-入口与规则展示'!C3:C200,"P3")</f>
        <v>2</v>
      </c>
      <c r="G16" s="27">
        <f>COUNTIF('无货秒赔-入口与规则展示'!C3:C200,"P4")</f>
        <v>2</v>
      </c>
      <c r="H16" s="27">
        <f>COUNTIF('无货秒赔-入口与规则展示'!C3:C200,"P5")</f>
        <v>0</v>
      </c>
    </row>
    <row r="17" spans="1:8">
      <c r="A17" s="4" t="s">
        <v>26</v>
      </c>
      <c r="B17" s="27" t="s">
        <v>21</v>
      </c>
      <c r="C17" s="27">
        <f>COUNTA('无货秒赔-异常与边界处理'!A3:A200)</f>
        <v>6</v>
      </c>
      <c r="D17" s="27">
        <f>COUNTIF('无货秒赔-异常与边界处理'!C3:C200,"P1")</f>
        <v>0</v>
      </c>
      <c r="E17" s="27">
        <f>COUNTIF('无货秒赔-异常与边界处理'!C3:C200,"P2")</f>
        <v>3</v>
      </c>
      <c r="F17" s="27">
        <f>COUNTIF('无货秒赔-异常与边界处理'!C3:C200,"P3")</f>
        <v>3</v>
      </c>
      <c r="G17" s="27">
        <f>COUNTIF('无货秒赔-异常与边界处理'!C3:C200,"P4")</f>
        <v>0</v>
      </c>
      <c r="H17" s="27">
        <f>COUNTIF('无货秒赔-异常与边界处理'!C3:C200,"P5")</f>
        <v>0</v>
      </c>
    </row>
    <row r="18" spans="1:8">
      <c r="A18" s="29" t="s">
        <v>27</v>
      </c>
      <c r="B18" s="29"/>
      <c r="C18" s="29">
        <f t="shared" ref="C18:H18" si="0">SUM(C12:C17)</f>
        <v>39</v>
      </c>
      <c r="D18" s="29">
        <f t="shared" si="0"/>
        <v>5</v>
      </c>
      <c r="E18" s="29">
        <f t="shared" si="0"/>
        <v>17</v>
      </c>
      <c r="F18" s="29">
        <f t="shared" si="0"/>
        <v>13</v>
      </c>
      <c r="G18" s="29">
        <f t="shared" si="0"/>
        <v>4</v>
      </c>
      <c r="H18" s="29">
        <f t="shared" si="0"/>
        <v>0</v>
      </c>
    </row>
    <row r="20" spans="1:8">
      <c r="A20" s="20" t="s">
        <v>28</v>
      </c>
      <c r="B20" s="30" t="str">
        <f>CONCATENATE("P1占比 ",TEXT(D18/C18,"0.0%")," (",D18,"/",C18,")")</f>
        <v>P1占比 12.8% (5/39)</v>
      </c>
      <c r="C20" s="30"/>
      <c r="D20" s="30"/>
      <c r="E20" s="30"/>
      <c r="F20" s="30"/>
      <c r="G20" s="30"/>
      <c r="H20" s="30"/>
    </row>
  </sheetData>
  <mergeCells count="7">
    <mergeCell ref="A1:H1"/>
    <mergeCell ref="B4:H4"/>
    <mergeCell ref="B5:H5"/>
    <mergeCell ref="B6:H6"/>
    <mergeCell ref="B7:H7"/>
    <mergeCell ref="B8:H8"/>
    <mergeCell ref="B20:H20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"/>
  <sheetViews>
    <sheetView workbookViewId="0">
      <pane ySplit="2" topLeftCell="A6" activePane="bottomLeft" state="frozen"/>
      <selection/>
      <selection pane="bottomLeft" activeCell="J3" sqref="J3:J10"/>
    </sheetView>
  </sheetViews>
  <sheetFormatPr defaultColWidth="7.89166666666667" defaultRowHeight="18"/>
  <cols>
    <col min="1" max="1" width="14.5583333333333" customWidth="1"/>
    <col min="2" max="2" width="25.4666666666667" customWidth="1"/>
    <col min="3" max="3" width="7.28333333333333" customWidth="1"/>
    <col min="4" max="5" width="9.1" customWidth="1"/>
    <col min="6" max="6" width="27.3" customWidth="1"/>
    <col min="7" max="7" width="40.0333333333333" customWidth="1"/>
    <col min="8" max="8" width="41.85" customWidth="1"/>
    <col min="9" max="9" width="16.3833333333333" customWidth="1"/>
    <col min="10" max="10" width="9.1" customWidth="1"/>
  </cols>
  <sheetData>
    <row r="1" ht="21" spans="1:10">
      <c r="A1" s="1" t="s">
        <v>29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30</v>
      </c>
      <c r="B2" s="2" t="s">
        <v>31</v>
      </c>
      <c r="C2" s="2" t="s">
        <v>32</v>
      </c>
      <c r="D2" s="2" t="s">
        <v>13</v>
      </c>
      <c r="E2" s="2" t="s">
        <v>33</v>
      </c>
      <c r="F2" s="2" t="s">
        <v>34</v>
      </c>
      <c r="G2" s="2" t="s">
        <v>35</v>
      </c>
      <c r="H2" s="2" t="s">
        <v>36</v>
      </c>
      <c r="I2" s="2" t="s">
        <v>37</v>
      </c>
      <c r="J2" s="2" t="s">
        <v>38</v>
      </c>
    </row>
    <row r="3" ht="94.5" customHeight="1" spans="1:10">
      <c r="A3" s="3" t="s">
        <v>39</v>
      </c>
      <c r="B3" s="4" t="s">
        <v>40</v>
      </c>
      <c r="C3" s="5" t="s">
        <v>16</v>
      </c>
      <c r="D3" s="6" t="s">
        <v>21</v>
      </c>
      <c r="E3" s="4" t="s">
        <v>41</v>
      </c>
      <c r="F3" s="4" t="s">
        <v>42</v>
      </c>
      <c r="G3" s="4" t="s">
        <v>43</v>
      </c>
      <c r="H3" s="4" t="s">
        <v>44</v>
      </c>
      <c r="I3" s="4" t="s">
        <v>45</v>
      </c>
      <c r="J3" s="7" t="s">
        <v>46</v>
      </c>
    </row>
    <row r="4" ht="94.5" customHeight="1" spans="1:10">
      <c r="A4" s="8" t="s">
        <v>47</v>
      </c>
      <c r="B4" s="9" t="s">
        <v>48</v>
      </c>
      <c r="C4" s="15" t="s">
        <v>18</v>
      </c>
      <c r="D4" s="11" t="s">
        <v>21</v>
      </c>
      <c r="E4" s="9" t="s">
        <v>41</v>
      </c>
      <c r="F4" s="9" t="s">
        <v>49</v>
      </c>
      <c r="G4" s="9" t="s">
        <v>50</v>
      </c>
      <c r="H4" s="9" t="s">
        <v>51</v>
      </c>
      <c r="I4" s="9" t="s">
        <v>52</v>
      </c>
      <c r="J4" s="12" t="s">
        <v>46</v>
      </c>
    </row>
    <row r="5" ht="94.5" customHeight="1" spans="1:10">
      <c r="A5" s="3" t="s">
        <v>53</v>
      </c>
      <c r="B5" s="4" t="s">
        <v>54</v>
      </c>
      <c r="C5" s="13" t="s">
        <v>17</v>
      </c>
      <c r="D5" s="6" t="s">
        <v>21</v>
      </c>
      <c r="E5" s="4" t="s">
        <v>41</v>
      </c>
      <c r="F5" s="4" t="s">
        <v>55</v>
      </c>
      <c r="G5" s="4" t="s">
        <v>56</v>
      </c>
      <c r="H5" s="4" t="s">
        <v>57</v>
      </c>
      <c r="I5" s="4" t="s">
        <v>58</v>
      </c>
      <c r="J5" s="7" t="s">
        <v>46</v>
      </c>
    </row>
    <row r="6" ht="94.5" customHeight="1" spans="1:10">
      <c r="A6" s="8" t="s">
        <v>59</v>
      </c>
      <c r="B6" s="9" t="s">
        <v>60</v>
      </c>
      <c r="C6" s="14" t="s">
        <v>17</v>
      </c>
      <c r="D6" s="11" t="s">
        <v>21</v>
      </c>
      <c r="E6" s="9" t="s">
        <v>41</v>
      </c>
      <c r="F6" s="9" t="s">
        <v>61</v>
      </c>
      <c r="G6" s="9" t="s">
        <v>62</v>
      </c>
      <c r="H6" s="9" t="s">
        <v>63</v>
      </c>
      <c r="I6" s="9" t="s">
        <v>64</v>
      </c>
      <c r="J6" s="12" t="s">
        <v>46</v>
      </c>
    </row>
    <row r="7" ht="94.5" customHeight="1" spans="1:10">
      <c r="A7" s="3" t="s">
        <v>65</v>
      </c>
      <c r="B7" s="4" t="s">
        <v>66</v>
      </c>
      <c r="C7" s="13" t="s">
        <v>17</v>
      </c>
      <c r="D7" s="6" t="s">
        <v>21</v>
      </c>
      <c r="E7" s="4" t="s">
        <v>41</v>
      </c>
      <c r="F7" s="4" t="s">
        <v>67</v>
      </c>
      <c r="G7" s="4" t="s">
        <v>68</v>
      </c>
      <c r="H7" s="4" t="s">
        <v>69</v>
      </c>
      <c r="I7" s="4" t="s">
        <v>52</v>
      </c>
      <c r="J7" s="7" t="s">
        <v>46</v>
      </c>
    </row>
    <row r="8" ht="94.5" customHeight="1" spans="1:10">
      <c r="A8" s="8" t="s">
        <v>70</v>
      </c>
      <c r="B8" s="9" t="s">
        <v>71</v>
      </c>
      <c r="C8" s="14" t="s">
        <v>17</v>
      </c>
      <c r="D8" s="11" t="s">
        <v>21</v>
      </c>
      <c r="E8" s="9" t="s">
        <v>41</v>
      </c>
      <c r="F8" s="9" t="s">
        <v>72</v>
      </c>
      <c r="G8" s="9" t="s">
        <v>73</v>
      </c>
      <c r="H8" s="9" t="s">
        <v>74</v>
      </c>
      <c r="I8" s="9" t="s">
        <v>75</v>
      </c>
      <c r="J8" s="12" t="s">
        <v>46</v>
      </c>
    </row>
    <row r="9" ht="94.5" customHeight="1" spans="1:10">
      <c r="A9" s="3" t="s">
        <v>76</v>
      </c>
      <c r="B9" s="4" t="s">
        <v>77</v>
      </c>
      <c r="C9" s="5" t="s">
        <v>16</v>
      </c>
      <c r="D9" s="6" t="s">
        <v>21</v>
      </c>
      <c r="E9" s="4" t="s">
        <v>41</v>
      </c>
      <c r="F9" s="4" t="s">
        <v>67</v>
      </c>
      <c r="G9" s="4" t="s">
        <v>78</v>
      </c>
      <c r="H9" s="4" t="s">
        <v>79</v>
      </c>
      <c r="I9" s="4" t="s">
        <v>80</v>
      </c>
      <c r="J9" s="7" t="s">
        <v>46</v>
      </c>
    </row>
    <row r="10" ht="94.5" customHeight="1" spans="1:10">
      <c r="A10" s="8" t="s">
        <v>81</v>
      </c>
      <c r="B10" s="9" t="s">
        <v>82</v>
      </c>
      <c r="C10" s="14" t="s">
        <v>17</v>
      </c>
      <c r="D10" s="11" t="s">
        <v>21</v>
      </c>
      <c r="E10" s="9" t="s">
        <v>41</v>
      </c>
      <c r="F10" s="9" t="s">
        <v>83</v>
      </c>
      <c r="G10" s="9" t="s">
        <v>84</v>
      </c>
      <c r="H10" s="9" t="s">
        <v>85</v>
      </c>
      <c r="I10" s="9" t="s">
        <v>86</v>
      </c>
      <c r="J10" s="12" t="s">
        <v>46</v>
      </c>
    </row>
  </sheetData>
  <mergeCells count="1">
    <mergeCell ref="A1:J1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9"/>
  <sheetViews>
    <sheetView workbookViewId="0">
      <pane ySplit="2" topLeftCell="A5" activePane="bottomLeft" state="frozen"/>
      <selection/>
      <selection pane="bottomLeft" activeCell="J7" sqref="J7"/>
    </sheetView>
  </sheetViews>
  <sheetFormatPr defaultColWidth="7.89166666666667" defaultRowHeight="18"/>
  <cols>
    <col min="1" max="1" width="14.5583333333333" customWidth="1"/>
    <col min="2" max="2" width="25.4666666666667" customWidth="1"/>
    <col min="3" max="3" width="7.28333333333333" customWidth="1"/>
    <col min="4" max="5" width="9.1" customWidth="1"/>
    <col min="6" max="6" width="27.3" customWidth="1"/>
    <col min="7" max="7" width="40.0333333333333" customWidth="1"/>
    <col min="8" max="8" width="41.85" customWidth="1"/>
    <col min="9" max="9" width="16.3833333333333" customWidth="1"/>
    <col min="10" max="10" width="9.1" customWidth="1"/>
  </cols>
  <sheetData>
    <row r="1" ht="21" spans="1:10">
      <c r="A1" s="1" t="s">
        <v>87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30</v>
      </c>
      <c r="B2" s="2" t="s">
        <v>31</v>
      </c>
      <c r="C2" s="2" t="s">
        <v>32</v>
      </c>
      <c r="D2" s="2" t="s">
        <v>13</v>
      </c>
      <c r="E2" s="2" t="s">
        <v>33</v>
      </c>
      <c r="F2" s="2" t="s">
        <v>34</v>
      </c>
      <c r="G2" s="2" t="s">
        <v>35</v>
      </c>
      <c r="H2" s="2" t="s">
        <v>36</v>
      </c>
      <c r="I2" s="2" t="s">
        <v>37</v>
      </c>
      <c r="J2" s="2" t="s">
        <v>38</v>
      </c>
    </row>
    <row r="3" ht="94.5" customHeight="1" spans="1:10">
      <c r="A3" s="3" t="s">
        <v>88</v>
      </c>
      <c r="B3" s="4" t="s">
        <v>89</v>
      </c>
      <c r="C3" s="5" t="s">
        <v>16</v>
      </c>
      <c r="D3" s="6" t="s">
        <v>21</v>
      </c>
      <c r="E3" s="4" t="s">
        <v>41</v>
      </c>
      <c r="F3" s="4" t="s">
        <v>90</v>
      </c>
      <c r="G3" s="4" t="s">
        <v>91</v>
      </c>
      <c r="H3" s="4" t="s">
        <v>92</v>
      </c>
      <c r="I3" s="4" t="s">
        <v>93</v>
      </c>
      <c r="J3" s="7" t="s">
        <v>46</v>
      </c>
    </row>
    <row r="4" ht="94.5" customHeight="1" spans="1:10">
      <c r="A4" s="8" t="s">
        <v>94</v>
      </c>
      <c r="B4" s="9" t="s">
        <v>95</v>
      </c>
      <c r="C4" s="10" t="s">
        <v>16</v>
      </c>
      <c r="D4" s="11" t="s">
        <v>21</v>
      </c>
      <c r="E4" s="9" t="s">
        <v>41</v>
      </c>
      <c r="F4" s="9" t="s">
        <v>96</v>
      </c>
      <c r="G4" s="9" t="s">
        <v>97</v>
      </c>
      <c r="H4" s="9" t="s">
        <v>98</v>
      </c>
      <c r="I4" s="9" t="s">
        <v>99</v>
      </c>
      <c r="J4" s="12" t="s">
        <v>46</v>
      </c>
    </row>
    <row r="5" ht="94.5" customHeight="1" spans="1:10">
      <c r="A5" s="8" t="s">
        <v>100</v>
      </c>
      <c r="B5" s="9" t="s">
        <v>101</v>
      </c>
      <c r="C5" s="18" t="s">
        <v>15</v>
      </c>
      <c r="D5" s="11" t="s">
        <v>21</v>
      </c>
      <c r="E5" s="9" t="s">
        <v>41</v>
      </c>
      <c r="F5" s="9" t="s">
        <v>102</v>
      </c>
      <c r="G5" s="9" t="s">
        <v>103</v>
      </c>
      <c r="H5" s="9" t="s">
        <v>104</v>
      </c>
      <c r="I5" s="9" t="s">
        <v>105</v>
      </c>
      <c r="J5" s="12" t="s">
        <v>46</v>
      </c>
    </row>
    <row r="6" ht="94.5" customHeight="1" spans="1:10">
      <c r="A6" s="3" t="s">
        <v>106</v>
      </c>
      <c r="B6" s="4" t="s">
        <v>107</v>
      </c>
      <c r="C6" s="13" t="s">
        <v>17</v>
      </c>
      <c r="D6" s="6" t="s">
        <v>21</v>
      </c>
      <c r="E6" s="4" t="s">
        <v>41</v>
      </c>
      <c r="F6" s="4" t="s">
        <v>108</v>
      </c>
      <c r="G6" s="4" t="s">
        <v>109</v>
      </c>
      <c r="H6" s="4" t="s">
        <v>110</v>
      </c>
      <c r="I6" s="9" t="s">
        <v>86</v>
      </c>
      <c r="J6" s="7" t="s">
        <v>46</v>
      </c>
    </row>
    <row r="7" ht="94.5" customHeight="1" spans="1:10">
      <c r="A7" s="8" t="s">
        <v>111</v>
      </c>
      <c r="B7" s="9" t="s">
        <v>112</v>
      </c>
      <c r="C7" s="10" t="s">
        <v>16</v>
      </c>
      <c r="D7" s="11" t="s">
        <v>21</v>
      </c>
      <c r="E7" s="9" t="s">
        <v>41</v>
      </c>
      <c r="F7" s="9" t="s">
        <v>113</v>
      </c>
      <c r="G7" s="9" t="s">
        <v>114</v>
      </c>
      <c r="H7" s="9" t="s">
        <v>115</v>
      </c>
      <c r="I7" s="9" t="s">
        <v>116</v>
      </c>
      <c r="J7" s="19" t="s">
        <v>117</v>
      </c>
    </row>
    <row r="8" ht="94.5" customHeight="1" spans="1:10">
      <c r="A8" s="3" t="s">
        <v>118</v>
      </c>
      <c r="B8" s="4" t="s">
        <v>119</v>
      </c>
      <c r="C8" s="13" t="s">
        <v>17</v>
      </c>
      <c r="D8" s="6" t="s">
        <v>21</v>
      </c>
      <c r="E8" s="4" t="s">
        <v>41</v>
      </c>
      <c r="F8" s="4" t="s">
        <v>120</v>
      </c>
      <c r="G8" s="4" t="s">
        <v>121</v>
      </c>
      <c r="H8" s="4" t="s">
        <v>122</v>
      </c>
      <c r="I8" s="4" t="s">
        <v>123</v>
      </c>
      <c r="J8" s="7" t="s">
        <v>46</v>
      </c>
    </row>
    <row r="9" ht="94.5" customHeight="1" spans="1:10">
      <c r="A9" s="8" t="s">
        <v>124</v>
      </c>
      <c r="B9" s="9" t="s">
        <v>125</v>
      </c>
      <c r="C9" s="15" t="s">
        <v>18</v>
      </c>
      <c r="D9" s="11" t="s">
        <v>21</v>
      </c>
      <c r="E9" s="9" t="s">
        <v>41</v>
      </c>
      <c r="F9" s="9" t="s">
        <v>126</v>
      </c>
      <c r="G9" s="9" t="s">
        <v>127</v>
      </c>
      <c r="H9" s="9" t="s">
        <v>128</v>
      </c>
      <c r="I9" s="9" t="s">
        <v>129</v>
      </c>
      <c r="J9" s="12" t="s">
        <v>46</v>
      </c>
    </row>
  </sheetData>
  <mergeCells count="1">
    <mergeCell ref="A1:J1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"/>
  <sheetViews>
    <sheetView zoomScale="85" zoomScaleNormal="85" topLeftCell="B1" workbookViewId="0">
      <pane ySplit="2" topLeftCell="A3" activePane="bottomLeft" state="frozen"/>
      <selection/>
      <selection pane="bottomLeft" activeCell="J3" sqref="J3:J7"/>
    </sheetView>
  </sheetViews>
  <sheetFormatPr defaultColWidth="7.89166666666667" defaultRowHeight="18" outlineLevelRow="6"/>
  <cols>
    <col min="1" max="1" width="14.5583333333333" customWidth="1"/>
    <col min="2" max="2" width="25.4666666666667" customWidth="1"/>
    <col min="3" max="3" width="7.28333333333333" customWidth="1"/>
    <col min="4" max="5" width="9.1" customWidth="1"/>
    <col min="6" max="6" width="27.3" customWidth="1"/>
    <col min="7" max="7" width="40.0333333333333" customWidth="1"/>
    <col min="8" max="8" width="41.85" customWidth="1"/>
    <col min="9" max="9" width="31" customWidth="1"/>
    <col min="10" max="10" width="9.1" customWidth="1"/>
  </cols>
  <sheetData>
    <row r="1" ht="21" spans="1:10">
      <c r="A1" s="1" t="s">
        <v>130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30</v>
      </c>
      <c r="B2" s="2" t="s">
        <v>31</v>
      </c>
      <c r="C2" s="2" t="s">
        <v>32</v>
      </c>
      <c r="D2" s="2" t="s">
        <v>13</v>
      </c>
      <c r="E2" s="2" t="s">
        <v>33</v>
      </c>
      <c r="F2" s="2" t="s">
        <v>34</v>
      </c>
      <c r="G2" s="2" t="s">
        <v>35</v>
      </c>
      <c r="H2" s="2" t="s">
        <v>36</v>
      </c>
      <c r="I2" s="2" t="s">
        <v>37</v>
      </c>
      <c r="J2" s="2" t="s">
        <v>38</v>
      </c>
    </row>
    <row r="3" ht="94.5" customHeight="1" spans="1:10">
      <c r="A3" s="3" t="s">
        <v>131</v>
      </c>
      <c r="B3" s="4" t="s">
        <v>132</v>
      </c>
      <c r="C3" s="16" t="s">
        <v>15</v>
      </c>
      <c r="D3" s="6" t="s">
        <v>21</v>
      </c>
      <c r="E3" s="4" t="s">
        <v>41</v>
      </c>
      <c r="F3" s="4" t="s">
        <v>133</v>
      </c>
      <c r="G3" s="4" t="s">
        <v>134</v>
      </c>
      <c r="H3" s="4" t="s">
        <v>135</v>
      </c>
      <c r="I3" s="4" t="s">
        <v>136</v>
      </c>
      <c r="J3" s="7" t="s">
        <v>46</v>
      </c>
    </row>
    <row r="4" ht="94.5" customHeight="1" spans="1:10">
      <c r="A4" s="8" t="s">
        <v>137</v>
      </c>
      <c r="B4" s="9" t="s">
        <v>138</v>
      </c>
      <c r="C4" s="18" t="s">
        <v>15</v>
      </c>
      <c r="D4" s="11" t="s">
        <v>21</v>
      </c>
      <c r="E4" s="9" t="s">
        <v>41</v>
      </c>
      <c r="F4" s="9" t="s">
        <v>139</v>
      </c>
      <c r="G4" s="9" t="s">
        <v>140</v>
      </c>
      <c r="H4" s="9" t="s">
        <v>141</v>
      </c>
      <c r="I4" s="9" t="s">
        <v>142</v>
      </c>
      <c r="J4" s="12" t="s">
        <v>46</v>
      </c>
    </row>
    <row r="5" ht="94.5" customHeight="1" spans="1:10">
      <c r="A5" s="3" t="s">
        <v>143</v>
      </c>
      <c r="B5" s="4" t="s">
        <v>144</v>
      </c>
      <c r="C5" s="5" t="s">
        <v>16</v>
      </c>
      <c r="D5" s="6" t="s">
        <v>21</v>
      </c>
      <c r="E5" s="4" t="s">
        <v>41</v>
      </c>
      <c r="F5" s="4" t="s">
        <v>145</v>
      </c>
      <c r="G5" s="4" t="s">
        <v>146</v>
      </c>
      <c r="H5" s="4" t="s">
        <v>147</v>
      </c>
      <c r="I5" s="4" t="s">
        <v>147</v>
      </c>
      <c r="J5" s="7" t="s">
        <v>46</v>
      </c>
    </row>
    <row r="6" ht="94.5" customHeight="1" spans="1:10">
      <c r="A6" s="8" t="s">
        <v>148</v>
      </c>
      <c r="B6" s="9" t="s">
        <v>149</v>
      </c>
      <c r="C6" s="18" t="s">
        <v>15</v>
      </c>
      <c r="D6" s="11" t="s">
        <v>21</v>
      </c>
      <c r="E6" s="9" t="s">
        <v>41</v>
      </c>
      <c r="F6" s="9" t="s">
        <v>150</v>
      </c>
      <c r="G6" s="9" t="s">
        <v>151</v>
      </c>
      <c r="H6" s="9" t="s">
        <v>152</v>
      </c>
      <c r="I6" s="9" t="s">
        <v>153</v>
      </c>
      <c r="J6" s="12" t="s">
        <v>46</v>
      </c>
    </row>
    <row r="7" ht="94.5" customHeight="1" spans="1:10">
      <c r="A7" s="3" t="s">
        <v>154</v>
      </c>
      <c r="B7" s="4" t="s">
        <v>155</v>
      </c>
      <c r="C7" s="5" t="s">
        <v>16</v>
      </c>
      <c r="D7" s="6" t="s">
        <v>21</v>
      </c>
      <c r="E7" s="4" t="s">
        <v>41</v>
      </c>
      <c r="F7" s="4" t="s">
        <v>156</v>
      </c>
      <c r="G7" s="4" t="s">
        <v>157</v>
      </c>
      <c r="H7" s="4" t="s">
        <v>158</v>
      </c>
      <c r="I7" s="4" t="s">
        <v>159</v>
      </c>
      <c r="J7" s="7" t="s">
        <v>46</v>
      </c>
    </row>
  </sheetData>
  <mergeCells count="1">
    <mergeCell ref="A1:J1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"/>
  <sheetViews>
    <sheetView workbookViewId="0">
      <pane ySplit="2" topLeftCell="A3" activePane="bottomLeft" state="frozen"/>
      <selection/>
      <selection pane="bottomLeft" activeCell="L7" sqref="L7"/>
    </sheetView>
  </sheetViews>
  <sheetFormatPr defaultColWidth="7.89166666666667" defaultRowHeight="18" outlineLevelRow="7"/>
  <cols>
    <col min="1" max="1" width="14.5583333333333" customWidth="1"/>
    <col min="2" max="2" width="25.4666666666667" customWidth="1"/>
    <col min="3" max="3" width="7.28333333333333" customWidth="1"/>
    <col min="4" max="5" width="9.1" customWidth="1"/>
    <col min="6" max="6" width="27.3" customWidth="1"/>
    <col min="7" max="7" width="40.0333333333333" customWidth="1"/>
    <col min="8" max="8" width="41.85" customWidth="1"/>
    <col min="9" max="9" width="16.3833333333333" customWidth="1"/>
    <col min="10" max="10" width="9.1" customWidth="1"/>
  </cols>
  <sheetData>
    <row r="1" ht="21" spans="1:10">
      <c r="A1" s="1" t="s">
        <v>160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30</v>
      </c>
      <c r="B2" s="2" t="s">
        <v>31</v>
      </c>
      <c r="C2" s="2" t="s">
        <v>32</v>
      </c>
      <c r="D2" s="2" t="s">
        <v>13</v>
      </c>
      <c r="E2" s="2" t="s">
        <v>33</v>
      </c>
      <c r="F2" s="2" t="s">
        <v>34</v>
      </c>
      <c r="G2" s="2" t="s">
        <v>35</v>
      </c>
      <c r="H2" s="2" t="s">
        <v>36</v>
      </c>
      <c r="I2" s="2" t="s">
        <v>37</v>
      </c>
      <c r="J2" s="2" t="s">
        <v>38</v>
      </c>
    </row>
    <row r="3" ht="94.5" customHeight="1" spans="1:10">
      <c r="A3" s="3" t="s">
        <v>161</v>
      </c>
      <c r="B3" s="4" t="s">
        <v>162</v>
      </c>
      <c r="C3" s="16" t="s">
        <v>15</v>
      </c>
      <c r="D3" s="6" t="s">
        <v>21</v>
      </c>
      <c r="E3" s="4" t="s">
        <v>41</v>
      </c>
      <c r="F3" s="4" t="s">
        <v>163</v>
      </c>
      <c r="G3" s="4" t="s">
        <v>164</v>
      </c>
      <c r="H3" s="4" t="s">
        <v>165</v>
      </c>
      <c r="I3" s="4" t="s">
        <v>166</v>
      </c>
      <c r="J3" s="7" t="s">
        <v>46</v>
      </c>
    </row>
    <row r="4" ht="94.5" customHeight="1" spans="1:10">
      <c r="A4" s="8" t="s">
        <v>167</v>
      </c>
      <c r="B4" s="9" t="s">
        <v>168</v>
      </c>
      <c r="C4" s="10" t="s">
        <v>16</v>
      </c>
      <c r="D4" s="11" t="s">
        <v>21</v>
      </c>
      <c r="E4" s="9" t="s">
        <v>41</v>
      </c>
      <c r="F4" s="9" t="s">
        <v>169</v>
      </c>
      <c r="G4" s="9" t="s">
        <v>170</v>
      </c>
      <c r="H4" s="9" t="s">
        <v>171</v>
      </c>
      <c r="I4" s="9" t="s">
        <v>172</v>
      </c>
      <c r="J4" s="12" t="s">
        <v>46</v>
      </c>
    </row>
    <row r="5" ht="94.5" customHeight="1" spans="1:10">
      <c r="A5" s="3" t="s">
        <v>173</v>
      </c>
      <c r="B5" s="4" t="s">
        <v>174</v>
      </c>
      <c r="C5" s="5" t="s">
        <v>16</v>
      </c>
      <c r="D5" s="6" t="s">
        <v>21</v>
      </c>
      <c r="E5" s="4" t="s">
        <v>41</v>
      </c>
      <c r="F5" s="4" t="s">
        <v>175</v>
      </c>
      <c r="G5" s="4" t="s">
        <v>176</v>
      </c>
      <c r="H5" s="4" t="s">
        <v>177</v>
      </c>
      <c r="I5" s="4" t="s">
        <v>178</v>
      </c>
      <c r="J5" s="7" t="s">
        <v>46</v>
      </c>
    </row>
    <row r="6" ht="94.5" customHeight="1" spans="1:10">
      <c r="A6" s="8" t="s">
        <v>179</v>
      </c>
      <c r="B6" s="9" t="s">
        <v>180</v>
      </c>
      <c r="C6" s="10" t="s">
        <v>16</v>
      </c>
      <c r="D6" s="11" t="s">
        <v>21</v>
      </c>
      <c r="E6" s="9" t="s">
        <v>41</v>
      </c>
      <c r="F6" s="9" t="s">
        <v>181</v>
      </c>
      <c r="G6" s="9" t="s">
        <v>182</v>
      </c>
      <c r="H6" s="9" t="s">
        <v>183</v>
      </c>
      <c r="I6" s="9" t="s">
        <v>184</v>
      </c>
      <c r="J6" s="12" t="s">
        <v>46</v>
      </c>
    </row>
    <row r="7" ht="94.5" customHeight="1" spans="1:10">
      <c r="A7" s="3" t="s">
        <v>185</v>
      </c>
      <c r="B7" s="4" t="s">
        <v>186</v>
      </c>
      <c r="C7" s="13" t="s">
        <v>17</v>
      </c>
      <c r="D7" s="6" t="s">
        <v>21</v>
      </c>
      <c r="E7" s="4" t="s">
        <v>41</v>
      </c>
      <c r="F7" s="4" t="s">
        <v>187</v>
      </c>
      <c r="G7" s="4" t="s">
        <v>188</v>
      </c>
      <c r="H7" s="4" t="s">
        <v>189</v>
      </c>
      <c r="I7" s="4" t="s">
        <v>190</v>
      </c>
      <c r="J7" s="17" t="s">
        <v>191</v>
      </c>
    </row>
    <row r="8" ht="94.5" customHeight="1" spans="1:10">
      <c r="A8" s="8" t="s">
        <v>192</v>
      </c>
      <c r="B8" s="9" t="s">
        <v>193</v>
      </c>
      <c r="C8" s="10" t="s">
        <v>16</v>
      </c>
      <c r="D8" s="11" t="s">
        <v>21</v>
      </c>
      <c r="E8" s="9" t="s">
        <v>41</v>
      </c>
      <c r="F8" s="9" t="s">
        <v>194</v>
      </c>
      <c r="G8" s="9" t="s">
        <v>195</v>
      </c>
      <c r="H8" s="9" t="s">
        <v>196</v>
      </c>
      <c r="I8" s="9" t="s">
        <v>197</v>
      </c>
      <c r="J8" s="12" t="s">
        <v>46</v>
      </c>
    </row>
  </sheetData>
  <mergeCells count="1">
    <mergeCell ref="A1:J1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9"/>
  <sheetViews>
    <sheetView workbookViewId="0">
      <pane ySplit="2" topLeftCell="A3" activePane="bottomLeft" state="frozen"/>
      <selection/>
      <selection pane="bottomLeft" activeCell="J3" sqref="J3:J9"/>
    </sheetView>
  </sheetViews>
  <sheetFormatPr defaultColWidth="7.89166666666667" defaultRowHeight="18"/>
  <cols>
    <col min="1" max="1" width="14.5583333333333" customWidth="1"/>
    <col min="2" max="2" width="25.4666666666667" customWidth="1"/>
    <col min="3" max="3" width="7.28333333333333" customWidth="1"/>
    <col min="4" max="5" width="9.1" customWidth="1"/>
    <col min="6" max="6" width="27.3" customWidth="1"/>
    <col min="7" max="7" width="40.0333333333333" customWidth="1"/>
    <col min="8" max="8" width="41.85" customWidth="1"/>
    <col min="9" max="9" width="16.3833333333333" customWidth="1"/>
    <col min="10" max="10" width="9.1" customWidth="1"/>
  </cols>
  <sheetData>
    <row r="1" ht="21" spans="1:10">
      <c r="A1" s="1" t="s">
        <v>198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30</v>
      </c>
      <c r="B2" s="2" t="s">
        <v>31</v>
      </c>
      <c r="C2" s="2" t="s">
        <v>32</v>
      </c>
      <c r="D2" s="2" t="s">
        <v>13</v>
      </c>
      <c r="E2" s="2" t="s">
        <v>33</v>
      </c>
      <c r="F2" s="2" t="s">
        <v>34</v>
      </c>
      <c r="G2" s="2" t="s">
        <v>35</v>
      </c>
      <c r="H2" s="2" t="s">
        <v>36</v>
      </c>
      <c r="I2" s="2" t="s">
        <v>37</v>
      </c>
      <c r="J2" s="2" t="s">
        <v>38</v>
      </c>
    </row>
    <row r="3" ht="94.5" customHeight="1" spans="1:10">
      <c r="A3" s="3" t="s">
        <v>199</v>
      </c>
      <c r="B3" s="4" t="s">
        <v>200</v>
      </c>
      <c r="C3" s="5" t="s">
        <v>16</v>
      </c>
      <c r="D3" s="6" t="s">
        <v>21</v>
      </c>
      <c r="E3" s="4" t="s">
        <v>41</v>
      </c>
      <c r="F3" s="4" t="s">
        <v>201</v>
      </c>
      <c r="G3" s="4" t="s">
        <v>202</v>
      </c>
      <c r="H3" s="4" t="s">
        <v>203</v>
      </c>
      <c r="I3" s="4" t="s">
        <v>52</v>
      </c>
      <c r="J3" s="7" t="s">
        <v>46</v>
      </c>
    </row>
    <row r="4" ht="94.5" customHeight="1" spans="1:10">
      <c r="A4" s="8" t="s">
        <v>204</v>
      </c>
      <c r="B4" s="9" t="s">
        <v>205</v>
      </c>
      <c r="C4" s="15" t="s">
        <v>18</v>
      </c>
      <c r="D4" s="11" t="s">
        <v>21</v>
      </c>
      <c r="E4" s="9" t="s">
        <v>41</v>
      </c>
      <c r="F4" s="9" t="s">
        <v>49</v>
      </c>
      <c r="G4" s="9" t="s">
        <v>206</v>
      </c>
      <c r="H4" s="9" t="s">
        <v>207</v>
      </c>
      <c r="I4" s="9" t="s">
        <v>52</v>
      </c>
      <c r="J4" s="12" t="s">
        <v>46</v>
      </c>
    </row>
    <row r="5" ht="94.5" customHeight="1" spans="1:10">
      <c r="A5" s="3" t="s">
        <v>208</v>
      </c>
      <c r="B5" s="4" t="s">
        <v>209</v>
      </c>
      <c r="C5" s="5" t="s">
        <v>16</v>
      </c>
      <c r="D5" s="6" t="s">
        <v>21</v>
      </c>
      <c r="E5" s="4" t="s">
        <v>41</v>
      </c>
      <c r="F5" s="4" t="s">
        <v>210</v>
      </c>
      <c r="G5" s="4" t="s">
        <v>211</v>
      </c>
      <c r="H5" s="4" t="s">
        <v>212</v>
      </c>
      <c r="I5" s="4" t="s">
        <v>213</v>
      </c>
      <c r="J5" s="7" t="s">
        <v>46</v>
      </c>
    </row>
    <row r="6" ht="94.5" customHeight="1" spans="1:10">
      <c r="A6" s="8" t="s">
        <v>214</v>
      </c>
      <c r="B6" s="9" t="s">
        <v>215</v>
      </c>
      <c r="C6" s="10" t="s">
        <v>16</v>
      </c>
      <c r="D6" s="11" t="s">
        <v>21</v>
      </c>
      <c r="E6" s="9" t="s">
        <v>41</v>
      </c>
      <c r="F6" s="9" t="s">
        <v>216</v>
      </c>
      <c r="G6" s="9" t="s">
        <v>217</v>
      </c>
      <c r="H6" s="9" t="s">
        <v>218</v>
      </c>
      <c r="I6" s="9" t="s">
        <v>52</v>
      </c>
      <c r="J6" s="12" t="s">
        <v>46</v>
      </c>
    </row>
    <row r="7" ht="94.5" customHeight="1" spans="1:10">
      <c r="A7" s="3" t="s">
        <v>219</v>
      </c>
      <c r="B7" s="4" t="s">
        <v>220</v>
      </c>
      <c r="C7" s="13" t="s">
        <v>17</v>
      </c>
      <c r="D7" s="6" t="s">
        <v>21</v>
      </c>
      <c r="E7" s="4" t="s">
        <v>41</v>
      </c>
      <c r="F7" s="4" t="s">
        <v>221</v>
      </c>
      <c r="G7" s="4" t="s">
        <v>222</v>
      </c>
      <c r="H7" s="4" t="s">
        <v>223</v>
      </c>
      <c r="I7" s="4" t="s">
        <v>52</v>
      </c>
      <c r="J7" s="7" t="s">
        <v>46</v>
      </c>
    </row>
    <row r="8" ht="94.5" customHeight="1" spans="1:10">
      <c r="A8" s="8" t="s">
        <v>224</v>
      </c>
      <c r="B8" s="9" t="s">
        <v>225</v>
      </c>
      <c r="C8" s="15" t="s">
        <v>18</v>
      </c>
      <c r="D8" s="11" t="s">
        <v>21</v>
      </c>
      <c r="E8" s="9" t="s">
        <v>41</v>
      </c>
      <c r="F8" s="9" t="s">
        <v>226</v>
      </c>
      <c r="G8" s="9" t="s">
        <v>227</v>
      </c>
      <c r="H8" s="9" t="s">
        <v>228</v>
      </c>
      <c r="I8" s="9" t="s">
        <v>52</v>
      </c>
      <c r="J8" s="12" t="s">
        <v>46</v>
      </c>
    </row>
    <row r="9" ht="94.5" customHeight="1" spans="1:10">
      <c r="A9" s="3" t="s">
        <v>229</v>
      </c>
      <c r="B9" s="4" t="s">
        <v>230</v>
      </c>
      <c r="C9" s="13" t="s">
        <v>17</v>
      </c>
      <c r="D9" s="6" t="s">
        <v>21</v>
      </c>
      <c r="E9" s="4" t="s">
        <v>41</v>
      </c>
      <c r="F9" s="4" t="s">
        <v>231</v>
      </c>
      <c r="G9" s="4" t="s">
        <v>232</v>
      </c>
      <c r="H9" s="4" t="s">
        <v>233</v>
      </c>
      <c r="I9" s="4" t="s">
        <v>234</v>
      </c>
      <c r="J9" s="7" t="s">
        <v>46</v>
      </c>
    </row>
  </sheetData>
  <mergeCells count="1">
    <mergeCell ref="A1:J1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"/>
  <sheetViews>
    <sheetView tabSelected="1" workbookViewId="0">
      <pane ySplit="2" topLeftCell="A3" activePane="bottomLeft" state="frozen"/>
      <selection/>
      <selection pane="bottomLeft" activeCell="J3" sqref="J3:J8"/>
    </sheetView>
  </sheetViews>
  <sheetFormatPr defaultColWidth="7.89166666666667" defaultRowHeight="18" outlineLevelRow="7"/>
  <cols>
    <col min="1" max="1" width="14.5583333333333" customWidth="1"/>
    <col min="2" max="2" width="25.4666666666667" customWidth="1"/>
    <col min="3" max="3" width="7.28333333333333" customWidth="1"/>
    <col min="4" max="5" width="9.1" customWidth="1"/>
    <col min="6" max="6" width="27.3" customWidth="1"/>
    <col min="7" max="7" width="40.0333333333333" customWidth="1"/>
    <col min="8" max="8" width="41.85" customWidth="1"/>
    <col min="9" max="9" width="16.3833333333333" customWidth="1"/>
    <col min="10" max="10" width="9.1" customWidth="1"/>
  </cols>
  <sheetData>
    <row r="1" ht="21" spans="1:10">
      <c r="A1" s="1" t="s">
        <v>235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30</v>
      </c>
      <c r="B2" s="2" t="s">
        <v>31</v>
      </c>
      <c r="C2" s="2" t="s">
        <v>32</v>
      </c>
      <c r="D2" s="2" t="s">
        <v>13</v>
      </c>
      <c r="E2" s="2" t="s">
        <v>33</v>
      </c>
      <c r="F2" s="2" t="s">
        <v>34</v>
      </c>
      <c r="G2" s="2" t="s">
        <v>35</v>
      </c>
      <c r="H2" s="2" t="s">
        <v>36</v>
      </c>
      <c r="I2" s="2" t="s">
        <v>37</v>
      </c>
      <c r="J2" s="2" t="s">
        <v>38</v>
      </c>
    </row>
    <row r="3" ht="94.5" customHeight="1" spans="1:10">
      <c r="A3" s="3" t="s">
        <v>236</v>
      </c>
      <c r="B3" s="4" t="s">
        <v>237</v>
      </c>
      <c r="C3" s="5" t="s">
        <v>16</v>
      </c>
      <c r="D3" s="6" t="s">
        <v>21</v>
      </c>
      <c r="E3" s="4" t="s">
        <v>41</v>
      </c>
      <c r="F3" s="4" t="s">
        <v>238</v>
      </c>
      <c r="G3" s="4" t="s">
        <v>239</v>
      </c>
      <c r="H3" s="4" t="s">
        <v>240</v>
      </c>
      <c r="I3" s="4" t="s">
        <v>241</v>
      </c>
      <c r="J3" s="7" t="s">
        <v>46</v>
      </c>
    </row>
    <row r="4" ht="94.5" customHeight="1" spans="1:10">
      <c r="A4" s="8" t="s">
        <v>242</v>
      </c>
      <c r="B4" s="9" t="s">
        <v>243</v>
      </c>
      <c r="C4" s="10" t="s">
        <v>16</v>
      </c>
      <c r="D4" s="11" t="s">
        <v>21</v>
      </c>
      <c r="E4" s="9" t="s">
        <v>41</v>
      </c>
      <c r="F4" s="9" t="s">
        <v>244</v>
      </c>
      <c r="G4" s="9" t="s">
        <v>245</v>
      </c>
      <c r="H4" s="9" t="s">
        <v>246</v>
      </c>
      <c r="I4" s="9" t="s">
        <v>247</v>
      </c>
      <c r="J4" s="12" t="s">
        <v>46</v>
      </c>
    </row>
    <row r="5" ht="94.5" customHeight="1" spans="1:10">
      <c r="A5" s="3" t="s">
        <v>248</v>
      </c>
      <c r="B5" s="4" t="s">
        <v>249</v>
      </c>
      <c r="C5" s="13" t="s">
        <v>17</v>
      </c>
      <c r="D5" s="6" t="s">
        <v>21</v>
      </c>
      <c r="E5" s="4" t="s">
        <v>41</v>
      </c>
      <c r="F5" s="4" t="s">
        <v>250</v>
      </c>
      <c r="G5" s="4" t="s">
        <v>251</v>
      </c>
      <c r="H5" s="4" t="s">
        <v>252</v>
      </c>
      <c r="I5" s="4" t="s">
        <v>253</v>
      </c>
      <c r="J5" s="7" t="s">
        <v>46</v>
      </c>
    </row>
    <row r="6" ht="94.5" customHeight="1" spans="1:10">
      <c r="A6" s="8" t="s">
        <v>254</v>
      </c>
      <c r="B6" s="9" t="s">
        <v>255</v>
      </c>
      <c r="C6" s="10" t="s">
        <v>16</v>
      </c>
      <c r="D6" s="11" t="s">
        <v>21</v>
      </c>
      <c r="E6" s="9" t="s">
        <v>41</v>
      </c>
      <c r="F6" s="9" t="s">
        <v>256</v>
      </c>
      <c r="G6" s="9" t="s">
        <v>257</v>
      </c>
      <c r="H6" s="9" t="s">
        <v>258</v>
      </c>
      <c r="I6" s="9" t="s">
        <v>259</v>
      </c>
      <c r="J6" s="7" t="s">
        <v>46</v>
      </c>
    </row>
    <row r="7" ht="94.5" customHeight="1" spans="1:10">
      <c r="A7" s="3" t="s">
        <v>260</v>
      </c>
      <c r="B7" s="4" t="s">
        <v>261</v>
      </c>
      <c r="C7" s="13" t="s">
        <v>17</v>
      </c>
      <c r="D7" s="6" t="s">
        <v>21</v>
      </c>
      <c r="E7" s="4" t="s">
        <v>41</v>
      </c>
      <c r="F7" s="4" t="s">
        <v>262</v>
      </c>
      <c r="G7" s="4" t="s">
        <v>263</v>
      </c>
      <c r="H7" s="4" t="s">
        <v>264</v>
      </c>
      <c r="I7" s="4" t="s">
        <v>265</v>
      </c>
      <c r="J7" s="12" t="s">
        <v>46</v>
      </c>
    </row>
    <row r="8" ht="94.5" customHeight="1" spans="1:10">
      <c r="A8" s="8" t="s">
        <v>266</v>
      </c>
      <c r="B8" s="9" t="s">
        <v>267</v>
      </c>
      <c r="C8" s="14" t="s">
        <v>17</v>
      </c>
      <c r="D8" s="11" t="s">
        <v>21</v>
      </c>
      <c r="E8" s="9" t="s">
        <v>41</v>
      </c>
      <c r="F8" s="9" t="s">
        <v>268</v>
      </c>
      <c r="G8" s="9" t="s">
        <v>269</v>
      </c>
      <c r="H8" s="9" t="s">
        <v>270</v>
      </c>
      <c r="I8" s="9" t="s">
        <v>271</v>
      </c>
      <c r="J8" s="7" t="s">
        <v>46</v>
      </c>
    </row>
  </sheetData>
  <mergeCells count="1">
    <mergeCell ref="A1:J1"/>
  </mergeCells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LibreOffice/26.2.2.2$Windows_X86_64 LibreOffice_project/1f77d10d6938fd34972958f64b2bcfa54f8b1ba5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用例统计</vt:lpstr>
      <vt:lpstr>秒杀专区-入口与页面展示</vt:lpstr>
      <vt:lpstr>秒杀专区-商品列表与活动时间</vt:lpstr>
      <vt:lpstr>秒杀专区-下单与状态流转</vt:lpstr>
      <vt:lpstr>秒杀专区-异常与边界处理</vt:lpstr>
      <vt:lpstr>无货秒赔-入口与规则展示</vt:lpstr>
      <vt:lpstr>无货秒赔-异常与边界处理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初尘</cp:lastModifiedBy>
  <cp:revision>0</cp:revision>
  <dcterms:created xsi:type="dcterms:W3CDTF">2026-07-21T07:32:00Z</dcterms:created>
  <dcterms:modified xsi:type="dcterms:W3CDTF">2026-07-24T12:20:08Z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0965283C6ECD45599B84F3589CF4D52B_12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