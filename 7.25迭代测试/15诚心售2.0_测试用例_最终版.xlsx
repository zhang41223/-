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 activeTab="2"/>
  </bookViews>
  <sheets>
    <sheet name="用例统计" sheetId="1" r:id="rId1"/>
    <sheet name="缺失分析与优化记录" sheetId="2" state="hidden" r:id="rId2"/>
    <sheet name="前台-诚心售Tab入口与图标展示" sheetId="3" r:id="rId3"/>
    <sheet name="前台-诚心售订单列表与状态筛选" sheetId="4" r:id="rId4"/>
    <sheet name="前台-诚心售订单操作与状态流转" sheetId="5" r:id="rId5"/>
    <sheet name="前台-服务列表隔离与跨Tab一致性" sheetId="6" r:id="rId6"/>
    <sheet name="后台-诚心售订单管理" sheetId="7" r:id="rId7"/>
    <sheet name="后台-资金状态与履约奖励配置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<sst xmlns="http://schemas.openxmlformats.org/spreadsheetml/2006/main" count="532" uniqueCount="338">
  <si>
    <t>诚心售2.0 - 测试用例统计 (V2.0)</t>
  </si>
  <si>
    <t>优先级定义标准:</t>
  </si>
  <si>
    <t>P1(阻断级)</t>
  </si>
  <si>
    <t>直接资金安全风险/数据不可恢复/核心状态机破坏,阻断核心业务流程。发版前必须100%通过</t>
  </si>
  <si>
    <t>P2(高优级)</t>
  </si>
  <si>
    <t>核心功能验证/状态流转/权限校验/数据隔离等关键业务路径。发版前必须通过</t>
  </si>
  <si>
    <t>P3(中优级)</t>
  </si>
  <si>
    <t>辅助功能验证/筛选搜索/展示交互/分页加载等常规功能。发版前应通过</t>
  </si>
  <si>
    <t>P4(低优级)</t>
  </si>
  <si>
    <t>边缘场景/空状态/审计日志/非核心展示等非关键路径。发版后修复</t>
  </si>
  <si>
    <t>P5(极低级)</t>
  </si>
  <si>
    <t>UI微调/文案优化/兼容性边缘等非功能性问题。迭代优化</t>
  </si>
  <si>
    <t>优化说明:</t>
  </si>
  <si>
    <t>1.本次用例覆盖前台4模块(24条)+后台2模块(16条),共40条,每模块&gt;=5条</t>
  </si>
  <si>
    <t>2.P1仅2条(去支付+申请退款,均为资金安全类),占比5.0%&lt;=15%</t>
  </si>
  <si>
    <t>3.诚心售2.0核心变化为「独立Tab」,重点覆盖服务列表隔离(双向不可见断言)</t>
  </si>
  <si>
    <t>4.资金状态与履约奖励配置模块覆盖并发校验(乐观锁)和配置变更影响</t>
  </si>
  <si>
    <t>5.终态订单(已取消/已违约/已成交)合并为1条多断言用例(合并规则)</t>
  </si>
  <si>
    <t>6.所有「待确认」项在缺失分析Sheet记录,禁止基于假设补充功能</t>
  </si>
  <si>
    <t>7.统计数据使用Excel公式动态计算,非硬编码</t>
  </si>
  <si>
    <t>模块</t>
  </si>
  <si>
    <t>用例数</t>
  </si>
  <si>
    <t>P1</t>
  </si>
  <si>
    <t>P2</t>
  </si>
  <si>
    <t>P3</t>
  </si>
  <si>
    <t>P4</t>
  </si>
  <si>
    <t>P5</t>
  </si>
  <si>
    <t>前台-诚心售Tab入口与图标展示</t>
  </si>
  <si>
    <t>前台-诚心售订单列表与状态筛选</t>
  </si>
  <si>
    <t>前台-诚心售订单操作与状态流转</t>
  </si>
  <si>
    <t>前台-服务列表隔离与跨Tab一致性</t>
  </si>
  <si>
    <t>后台-诚心售订单管理</t>
  </si>
  <si>
    <t>后台-资金状态与履约奖励配置</t>
  </si>
  <si>
    <t>合计</t>
  </si>
  <si>
    <t>测试结果汇总</t>
  </si>
  <si>
    <t>结果</t>
  </si>
  <si>
    <t>数量</t>
  </si>
  <si>
    <t>占比</t>
  </si>
  <si>
    <t>说明</t>
  </si>
  <si>
    <t>PASS</t>
  </si>
  <si>
    <t>通过</t>
  </si>
  <si>
    <t>FAIL</t>
  </si>
  <si>
    <t>失败</t>
  </si>
  <si>
    <t>TWD</t>
  </si>
  <si>
    <t>待确认</t>
  </si>
  <si>
    <t>未测</t>
  </si>
  <si>
    <t>未执行测试</t>
  </si>
  <si>
    <t>诚心售2.0 - 缺失分析与优化记录</t>
  </si>
  <si>
    <t>编号</t>
  </si>
  <si>
    <t>缺失/优化项</t>
  </si>
  <si>
    <t>原因分析</t>
  </si>
  <si>
    <t>处理措施</t>
  </si>
  <si>
    <t>严重度</t>
  </si>
  <si>
    <t>状态</t>
  </si>
  <si>
    <t>产品确认结果</t>
  </si>
  <si>
    <t>G001</t>
  </si>
  <si>
    <t>诚心售Tab排序位置</t>
  </si>
  <si>
    <t>需求未明确诚心售Tab在Tab栏中的具体排序(服务列表前/后)</t>
  </si>
  <si>
    <t>用例CX-FE-TAB-003标注待确认,需产品提供排序定义</t>
  </si>
  <si>
    <t>中</t>
  </si>
  <si>
    <t>已确认</t>
  </si>
  <si>
    <t>在卖家交易订单中，并列在买家订单售后列表的右边</t>
  </si>
  <si>
    <t>G002</t>
  </si>
  <si>
    <t>诚心售Tab URL路由规则</t>
  </si>
  <si>
    <t>URL参数格式和路由规则未明确</t>
  </si>
  <si>
    <t>用例CX-FE-TAB-005标注待确认,需技术确认URL方案</t>
  </si>
  <si>
    <t>暂不考虑</t>
  </si>
  <si>
    <t>G003</t>
  </si>
  <si>
    <t>诚心卖资金状态具体流转值</t>
  </si>
  <si>
    <t>资金状态从「待处理」流转到什么状态未明确</t>
  </si>
  <si>
    <t>用例CX-FE-OP-005标注待确认,需产品确认资金状态枚举</t>
  </si>
  <si>
    <t>高</t>
  </si>
  <si>
    <t>诚心售在订单交易完成时发放奖励</t>
  </si>
  <si>
    <t>G004</t>
  </si>
  <si>
    <t>履约奖励发放时机</t>
  </si>
  <si>
    <t>触发条件(租期到期/确认交易完成/其他)未明确</t>
  </si>
  <si>
    <t>用例CX-FE-OP-006和CX-BE-CFG-004标注待确认,需产品确认</t>
  </si>
  <si>
    <t>仅交易完成才会有诚心售奖励（只有交易才能使用诚心售；并且还得用户自己购买服务）</t>
  </si>
  <si>
    <t>G005</t>
  </si>
  <si>
    <t>配置变更对已存在订单影响策略</t>
  </si>
  <si>
    <t>配置变更是否仅对新订单生效未明确</t>
  </si>
  <si>
    <t>用例CX-BE-CFG-006标注待确认,需产品确认影响范围</t>
  </si>
  <si>
    <t xml:space="preserve">对已经完成的和正在正常开启诚心售不做影响，将要开启的进行变化（以下单购买服务时，系统的实时情况进行判断）
</t>
  </si>
  <si>
    <t>G006</t>
  </si>
  <si>
    <t>后台诚心售角色定义</t>
  </si>
  <si>
    <t>是否有独立的「诚心售管理员」角色未明确</t>
  </si>
  <si>
    <t>用例CX-BE-MG-006标注待确认,需确认角色定义</t>
  </si>
  <si>
    <t>后台有专门的功能模块</t>
  </si>
  <si>
    <t>G007</t>
  </si>
  <si>
    <t>诚心售订单是否支持跨Tab搜索</t>
  </si>
  <si>
    <t>是否需要全局搜索功能未明确</t>
  </si>
  <si>
    <t>用例CX-FE-ISO-005标注待确认,需产品确认</t>
  </si>
  <si>
    <t>低</t>
  </si>
  <si>
    <t>支持搜索功能</t>
  </si>
  <si>
    <t>G008</t>
  </si>
  <si>
    <t>后台诚心售管理菜单层级</t>
  </si>
  <si>
    <t>是一级菜单还是二级菜单未明确</t>
  </si>
  <si>
    <t>需产品确认菜单层级位置</t>
  </si>
  <si>
    <t>在一级营销管理模块下的子模块</t>
  </si>
  <si>
    <t>诚心售2.0 - 前台-诚心售Tab入口与图标展示</t>
  </si>
  <si>
    <t>用例编号</t>
  </si>
  <si>
    <t>测试项</t>
  </si>
  <si>
    <t>优先级</t>
  </si>
  <si>
    <t>归属版本</t>
  </si>
  <si>
    <t>前置条件</t>
  </si>
  <si>
    <t>输入/执行步骤</t>
  </si>
  <si>
    <t>预计结果</t>
  </si>
  <si>
    <t>实际结果</t>
  </si>
  <si>
    <t>是否通过</t>
  </si>
  <si>
    <t>CX-FE-TAB-001</t>
  </si>
  <si>
    <t>诚心售Tab入口存在性验证</t>
  </si>
  <si>
    <t>V2.0</t>
  </si>
  <si>
    <t>1.登录账号租赁平台
2.进入个人中心&gt;订单中心</t>
  </si>
  <si>
    <t>1.进入个人中心-订单中心页面
2.查看顶部Tab栏区域
3.确认Tab项列表</t>
  </si>
  <si>
    <t>1.顶部Tab栏显示「诚心售」Tab项
2.Tab与「买家订单」「售后列表」「服务列表」并列显示
3.Tab文字清晰可读无乱码
4.Tab可被点击选中</t>
  </si>
  <si>
    <t>展示正常，功能正常</t>
  </si>
  <si>
    <t>CX-FE-TAB-002</t>
  </si>
  <si>
    <t>诚心售Tab橙色盾牌图标显示</t>
  </si>
  <si>
    <t>1.登录平台进入个人中心-订单中心</t>
  </si>
  <si>
    <t>1.查看「诚心售」Tab项的图标区域
2.对比1.0版本诚心售履约服务图标
3.检查图标在不同分辨率下显示</t>
  </si>
  <si>
    <t>1.诚心售Tab左侧或上方显示橙色盾牌图标
2.图标样式与1.0诚心售履约服务盾牌图标一致
3.图标清晰无变形无裂图
4.图标尺寸与Tab文字比例协调</t>
  </si>
  <si>
    <t>展示正常</t>
  </si>
  <si>
    <t>CX-FE-TAB-003</t>
  </si>
  <si>
    <t>诚心售Tab排序位置验证</t>
  </si>
  <si>
    <t>1.查看Tab栏从左到右的排列顺序
2.记录各Tab位置
3.刷新页面验证排序稳定性</t>
  </si>
  <si>
    <t>1.Tab排序为:买家订单|售后列表|诚心售(在最右侧,并列在买家订单售后列表的右边)
2.刷新后排序保持一致
3.排序位置固定不可拖拽调整</t>
  </si>
  <si>
    <t>展示支持，不可拖拽</t>
  </si>
  <si>
    <t>CX-FE-TAB-004</t>
  </si>
  <si>
    <t>诚心售Tab选中态高亮验证</t>
  </si>
  <si>
    <t>1.点击「诚心售」Tab
2.观察Tab选中态样式
3.点击其他Tab再切回诚心售</t>
  </si>
  <si>
    <t>1.选中「诚心售」时显示橙色下划线高亮
2.未选中时无下划线文字为常规色
3.切换其他Tab后诚心售高亮消失
4.切回后高亮恢复
5.选中态样式与其他Tab一致</t>
  </si>
  <si>
    <t>诚心售按钮高亮，展示正常</t>
  </si>
  <si>
    <t>CX-FE-TAB-005</t>
  </si>
  <si>
    <t>诚心售Tab点击切换与URL状态</t>
  </si>
  <si>
    <t>1.登录平台进入个人中心-订单中心
2.浏览器地址栏可观察</t>
  </si>
  <si>
    <t>1.点击「诚心售」Tab
2.观察页面内容区域变化
3.复制当前URL在新标签打开
4.刷新页面</t>
  </si>
  <si>
    <t>1.点击后内容区切换为诚心售订单列表
2.刷新后保持诚心售Tab选中态
3.浏览器前进后退可切换Tab
注:URL路由规则暂不考虑,不验证URL参数</t>
  </si>
  <si>
    <t>点击状态良好，状态流转无异常</t>
  </si>
  <si>
    <t>CX-FE-TAB-006</t>
  </si>
  <si>
    <t>诚心售Tab空状态展示</t>
  </si>
  <si>
    <t>1.登录无诚心售订单的测试账号
2.进入个人中心-订单中心</t>
  </si>
  <si>
    <t>1.点击「诚心售」Tab
2.观察列表区域显示
3.检查空状态文案与图标</t>
  </si>
  <si>
    <t>1.列表区域显示空状态提示(如「暂无诚心售订单」)
2.空状态有对应的图标或插画
3.文案准确无错别字
4.不显示无关的订单数据
5.空状态不与其他Tab混淆</t>
  </si>
  <si>
    <t>服务列表显示全部：待支付、已开通、已取消、已违约、已成交</t>
  </si>
  <si>
    <t>诚心售2.0 - 前台-诚心售订单列表与状态筛选</t>
  </si>
  <si>
    <t>CX-FE-LST-001</t>
  </si>
  <si>
    <t>诚心售订单列表默认展示(全部)</t>
  </si>
  <si>
    <t>1.登录有诚心售订单的账号
2.进入个人中心-订单中心
3.点击「诚心售」Tab</t>
  </si>
  <si>
    <t>1.查看状态筛选栏默认选中项
2.查看订单列表展示
3.检查列表排序规则</t>
  </si>
  <si>
    <t>1.默认选中「全部」状态筛选
2.列表展示当前用户所有诚心售订单
3.订单按时间倒序排列(或其他确认规则)
4.每条订单以卡片形式展示
5.右上角显示「成交订单:X」统计数</t>
  </si>
  <si>
    <t>显示所有诚心售订单</t>
  </si>
  <si>
    <t>CX-FE-LST-002</t>
  </si>
  <si>
    <t>待支付状态筛选验证</t>
  </si>
  <si>
    <t>1.登录有诚心售订单的账号
2.进入诚心售Tab</t>
  </si>
  <si>
    <t>1.点击「待支付」状态筛选
2.查看列表展示的订单
3.逐条核对订单状态</t>
  </si>
  <si>
    <t>1.列表仅显示状态为「待支付」的诚心售订单
2.不显示已开通/已取消/已违约/已成交订单
3.订单卡片状态标签显示「待支付」(橙色)
4.待支付订单显示「去支付」「取消订单」按钮
5.无符合订单时显示空状态</t>
  </si>
  <si>
    <t>CX-FE-LST-003</t>
  </si>
  <si>
    <t>已开通状态筛选验证</t>
  </si>
  <si>
    <t>1.点击「已开通」状态筛选
2.查看列表展示的订单
3.核对订单状态与操作按钮</t>
  </si>
  <si>
    <t>1.列表仅显示状态为「已开通」的诚心售订单
2.订单卡片状态标签显示「已开通」(橙色)
3.已开通订单显示「申请退款」按钮
4.不显示其他状态订单
5.筛选结果与数据库数据一致</t>
  </si>
  <si>
    <t>状态流转正常，显示以及开启诚心售</t>
  </si>
  <si>
    <t>CX-FE-LST-004</t>
  </si>
  <si>
    <t>已取消/已违约/已成交状态筛选验证</t>
  </si>
  <si>
    <t>1.登录有各类状态诚心售订单的账号
2.进入诚心售Tab</t>
  </si>
  <si>
    <t>1.点击「已取消」筛选核对结果
2.点击「已违约」筛选核对结果
3.点击「已成交」筛选核对结果
4.检查各状态订单的操作按钮</t>
  </si>
  <si>
    <t>1.已取消筛选:仅显示已取消订单,状态灰色,无操作按钮
2.已违约筛选:仅显示已违约订单,状态红色/深色,无操作按钮
3.已成交筛选:仅显示已成交订单,状态绿色,无操作按钮
4.各筛选结果互不交叉
5.筛选切换响应及时无残留</t>
  </si>
  <si>
    <t>显示正常</t>
  </si>
  <si>
    <t>CX-FE-LST-005</t>
  </si>
  <si>
    <t>成交订单统计数显示验证</t>
  </si>
  <si>
    <t>1.登录有已成交诚心售订单的账号
2.进入诚心售Tab</t>
  </si>
  <si>
    <t>1.查看右上角「成交订单」统计数
2.切换到「已成交」筛选
3.数已成交订单数量
4.创建新的已成交订单后刷新</t>
  </si>
  <si>
    <t>1.统计数显示为已成交诚心售订单总数
2.统计数与「已成交」筛选下订单数一致
3.新增已成交订单后统计数自动+1
4.统计数不包含其他状态订单
5.统计数不包含普通服务订单(仅诚心售)</t>
  </si>
  <si>
    <t>已购买诚心售的商品全部显示</t>
  </si>
  <si>
    <t>CX-FE-LST-006</t>
  </si>
  <si>
    <t>诚心售订单卡片字段完整性</t>
  </si>
  <si>
    <t>1.展开订单卡片查看所有字段
2.逐字段核对显示内容
3.对比1.0版本字段</t>
  </si>
  <si>
    <t>1.服务编号:格式JJFW+日期+序号,完整显示
2.客服入口:显示客服图标,可点击
3.服务名称:显示「诚心售履约服务」
4.商品详情:商品编号+总资产+哈夫币+安全箱等属性
5.诚心卖资金状态:显示「待处理」等状态
6.履约奖励发放状态:显示「未发放」等状态
7.价格:显示¥金额
8.操作按钮:按状态显示对应按钮</t>
  </si>
  <si>
    <t>订单状态全部显示</t>
  </si>
  <si>
    <t>CX-FE-LST-007</t>
  </si>
  <si>
    <t>诚心售订单列表分页与加载</t>
  </si>
  <si>
    <t>1.登录有大量诚心售订单的账号(&gt;20条)
2.进入诚心售Tab</t>
  </si>
  <si>
    <t>1.查看列表底部是否有分页或加载更多
2.滚动加载更多订单
3.切换状态筛选后验证分页重置
4.弱网环境测试加载</t>
  </si>
  <si>
    <t>1.列表支持分页或无限滚动加载
2.每次加载条数符合配置(如10/20条)
3.加载更多时显示loading状态
4.切换筛选后分页重置为第一页
5.弱网下加载失败有重试提示
6.无重复订单展示</t>
  </si>
  <si>
    <t>1.页面显示无误
2.弱网情况下，提示服务状态有误，请稍后重试</t>
  </si>
  <si>
    <t>诚心售2.0 - 前台-诚心售订单操作与状态流转</t>
  </si>
  <si>
    <t>CX-FE-OP-001</t>
  </si>
  <si>
    <t>待支付-去支付操作验证</t>
  </si>
  <si>
    <t>1.登录有待支付诚心售订单的账号
2.进入诚心售Tab
3.账户余额充足</t>
  </si>
  <si>
    <t>1.点击待支付订单的「去支付」按钮
2.跳转支付页面
3.选择支付方式完成支付
4.返回诚心售Tab查看订单状态
5.检查诚心卖资金状态变化</t>
  </si>
  <si>
    <t>1.点击后跳转支付页面,金额正确
2.支付成功后订单状态变更为「已开通」
3.诚心卖资金状态保持「待处理」(交易完成时才发放奖励)
4.履约奖励发放状态保持「未发放」
5.订单列表自动刷新显示新状态
6.后端并发校验(乐观锁)防止重复支付
7.支付金额与订单价格一致</t>
  </si>
  <si>
    <t>变为已开通</t>
  </si>
  <si>
    <t>CX-FE-OP-002</t>
  </si>
  <si>
    <t>待支付-取消订单操作验证</t>
  </si>
  <si>
    <t>1.登录有待支付诚心售订单的账号
2.进入诚心售Tab</t>
  </si>
  <si>
    <t>1.点击待支付订单的「取消订单」按钮
2.确认取消操作(如有二次确认弹窗)
3.查看订单状态变化
4.检查操作按钮消失</t>
  </si>
  <si>
    <t>1.点击后弹出二次确认
2.确认后订单状态变更为「已取消」
3.已取消订单不显示操作按钮
4.取消操作不可逆(后端状态机校验)
5.取消后诚心卖资金状态保持「待处理」(未支付,无资金流转)
6.列表刷新显示已取消状态</t>
  </si>
  <si>
    <t>CX-FE-OP-003</t>
  </si>
  <si>
    <t>已开通-申请退款操作验证</t>
  </si>
  <si>
    <t>1.登录有已开通诚心售订单的账号
2.进入诚心售Tab</t>
  </si>
  <si>
    <t>1.点击已开通订单的「申请退款」按钮
2.填写退款原因(如有)
3.提交退款申请
4.查看订单状态变化
5.检查资金回退链路</t>
  </si>
  <si>
    <t>1.点击后跳转退款申请页面或弹窗
2.退款原因必填(后端参数校验)
3.提交后订单状态流转为「已退款」
4.诚心卖资金状态同步更新(资金回退)
5.履约奖励发放状态同步更新(如已发放则回退)
6.后端状态机校验防止非法退款
7.退款金额与订单金额一致
8.资金回退到原支付账户</t>
  </si>
  <si>
    <t>已开通可申请关闭</t>
  </si>
  <si>
    <t>CX-FE-OP-004</t>
  </si>
  <si>
    <t>已取消/已违约/已成交-无操作按钮验证</t>
  </si>
  <si>
    <t>1.登录有各类终态诚心售订单的账号
2.进入诚心售Tab</t>
  </si>
  <si>
    <t>1.筛选「已取消」状态检查订单卡片
2.筛选「已违约」状态检查订单卡片
3.筛选「已成交」状态检查订单卡片
4.尝试通过URL直接访问操作接口</t>
  </si>
  <si>
    <t>1.已取消订单卡片无操作按钮区域
2.已违约订单卡片无操作按钮区域
3.已成交订单卡片无操作按钮区域
4.后端状态机校验拦截直接接口调用
5.返回错误提示「当前状态不允许此操作」
6.三种终态均不可逆操作</t>
  </si>
  <si>
    <t>CX-FE-OP-005</t>
  </si>
  <si>
    <t>诚心卖资金状态流转验证</t>
  </si>
  <si>
    <t>1.登录有待支付/已开通诚心售订单的账号
2.进入诚心售Tab</t>
  </si>
  <si>
    <t>1.查看待支付订单的资金状态
2.支付后查看资金状态变化
3.退款后查看资金状态变化
4.对比不同状态下的资金状态字段</t>
  </si>
  <si>
    <t>1.待支付时资金状态为「待处理」
2.支付成功后资金状态保持「待处理」(诚心售在订单交易完成时才发放奖励)
3.交易完成后资金状态流转为「已完成」
4.退款后资金状态同步更新(资金回退)
5.资金状态与订单状态联动一致
6.后端并发校验(乐观锁)防止资金状态错乱</t>
  </si>
  <si>
    <t>在订单完成的时候诚心售变为完成状态，退还支付金额和发放奖励</t>
  </si>
  <si>
    <t>CX-FE-OP-006</t>
  </si>
  <si>
    <t>履约奖励发放状态流转验证</t>
  </si>
  <si>
    <t>1.登录有已开通诚心售订单的账号
2.进入诚心售Tab
3.等待奖励发放条件触发</t>
  </si>
  <si>
    <t>1.查看已开通订单的奖励状态
2.等待触发条件达成(如租期到期/确认收货)
3.查看奖励状态变化
4.退款后查看奖励状态变化</t>
  </si>
  <si>
    <t>1.已开通初期奖励状态为「未发放」
2.交易完成后奖励状态变更为「已发放」(仅交易完成才发放诚心售奖励,且需用户自己购买服务)
3.退款后已发放奖励同步回退(资金回退链路)
4.未发放奖励退款后不发放
5.奖励状态与资金状态联动一致</t>
  </si>
  <si>
    <t>CX-FE-OP-007</t>
  </si>
  <si>
    <t>订单状态机非法流转拦截验证</t>
  </si>
  <si>
    <t>1.准备各类状态的诚心售订单
2.使用抓包工具或接口测试</t>
  </si>
  <si>
    <t>1.尝试对已取消订单调用支付接口
2.尝试对已成交订单调用退款接口
3.尝试对已违约订单调用取消接口
4.并发操作同一订单(同时支付+取消)</t>
  </si>
  <si>
    <t>1.已取消订单调用支付→后端状态机校验拦截返回错误
2.已成交订单调用退款→拦截(如不允许)返回错误
3.已违约订单调用取消→拦截返回错误
4.并发操作→后端并发校验(乐观锁)拦截仅一个成功
5.所有非法操作不产生数据变更
6.非法操作记录审计日志</t>
  </si>
  <si>
    <t>诚心售2.0 - 前台-服务列表隔离与跨Tab一致性</t>
  </si>
  <si>
    <t>CX-FE-ISO-001</t>
  </si>
  <si>
    <t>服务列表Tab不含诚心售订单验证</t>
  </si>
  <si>
    <t>1.登录同时有诚心售订单和普通服务订单的账号
2.进入个人中心-订单中心</t>
  </si>
  <si>
    <t>1.点击「诚心售」Tab记录订单列表
2.点击「服务列表」Tab记录订单列表
3.对比两个Tab的订单
4.在服务列表中搜索诚心售订单编号</t>
  </si>
  <si>
    <t>1.诚心售Tab显示诚心售履约服务订单
2.服务列表Tab不显示任何诚心售履约服务订单
3.两个Tab订单无交叉
4.服务列表搜索诚心售订单编号返回空结果
5.服务列表统计数不包含诚心售订单
6.隔离为数据层隔离非仅前端隐藏</t>
  </si>
  <si>
    <t>订单编号唯一；诚心售关联订单ID无误</t>
  </si>
  <si>
    <t>CX-FE-ISO-002</t>
  </si>
  <si>
    <t>诚心售Tab不含普通服务订单验证</t>
  </si>
  <si>
    <t>1.点击「诚心售」Tab
2.查看订单列表
3.在诚心售Tab搜索普通服务订单编号
4.对比诚心售Tab与服务列表Tab的订单</t>
  </si>
  <si>
    <t>1.诚心售Tab仅显示诚心售履约服务订单
2.不显示普通服务订单
3.搜索普通服务订单编号返回空结果
4.双向隔离:服务列表无诚心售,诚心售无普通服务
5.隔离在数据层生效非仅前端过滤</t>
  </si>
  <si>
    <t>开启诚心售订单，订单回滚到无货包赔专区；开启了订单页面和列表页面有明显标志</t>
  </si>
  <si>
    <t>CX-FE-ISO-003</t>
  </si>
  <si>
    <t>诚心售Tab与买家订单Tab数据隔离</t>
  </si>
  <si>
    <t>1.登录同时有诚心售订单和买家订单的账号
2.进入个人中心-订单中心</t>
  </si>
  <si>
    <t>1.点击「买家订单」Tab记录订单
2.点击「诚心售」Tab记录订单
3.对比两个Tab订单是否有交叉
4.检查买家订单统计数是否包含诚心售</t>
  </si>
  <si>
    <t>1.买家订单Tab不显示诚心售履约服务订单
2.诚心售Tab不显示买家订单
3.两个Tab数据完全隔离
4.买家订单统计数包含诚心售订单
5.各Tab独立维护筛选状态</t>
  </si>
  <si>
    <t>包含诚心售订单，订单与普通订单不隔离</t>
  </si>
  <si>
    <t>CX-FE-ISO-004</t>
  </si>
  <si>
    <t>跨Tab状态筛选独立性验证</t>
  </si>
  <si>
    <t>1.登录有各类订单的账号
2.进入个人中心-订单中心</t>
  </si>
  <si>
    <t>1.在诚心售Tab选择「待支付」筛选
2.切换到服务列表Tab查看筛选状态
3.切回诚心售Tab查看筛选是否保持
4.在服务列表Tab选择「已开通」筛选后切换</t>
  </si>
  <si>
    <t>1.诚心售Tab筛选状态独立保存
2.切换Tab后诚心售筛选状态保持
3.服务列表Tab筛选不受诚心售影响
4.各Tab筛选互不干扰
5.刷新后各Tab保持各自筛选状态</t>
  </si>
  <si>
    <t>诚心服务页面单独显示只有开启过诚心售的订单</t>
  </si>
  <si>
    <t>CX-FE-ISO-005</t>
  </si>
  <si>
    <t>诚心售订单搜索范围隔离验证</t>
  </si>
  <si>
    <t>1.登录有诚心售订单的账号
2.记录一个诚心售订单编号
3.进入个人中心-订单中心</t>
  </si>
  <si>
    <t>1.在诚心售Tab搜索该订单编号
2.切换到服务列表Tab搜索同一编号
3.切换到买家订单Tab搜索同一编号
4.检查各Tab搜索结果</t>
  </si>
  <si>
    <t>1.诚心售Tab搜索返回该诚心售订单
2.服务列表Tab搜索返回空结果
3.买家订单Tab搜索返回空结果
4.搜索范围为当前Tab作用域
5.支持搜索功能,但搜索范围限于当前Tab(不跨Tab搜索)</t>
  </si>
  <si>
    <t>支持对订单进行搜索服务；也开启筛选功能</t>
  </si>
  <si>
    <t>CX-FE-ISO-006</t>
  </si>
  <si>
    <t>诚心售Tab与服务列表Tab统计数隔离</t>
  </si>
  <si>
    <t>1.登录有诚心售订单和普通服务订单的账号
2.进入个人中心-订单中心</t>
  </si>
  <si>
    <t>1.诚心售Tab查看「成交订单」统计数
2.服务列表Tab查看「成交订单」统计数
3.手动统计两个Tab的已成交订单数
4.验证统计数不互相包含</t>
  </si>
  <si>
    <t>1.诚心售Tab成交订单数=诚心售已成交订单数
2.服务列表Tab成交订单数=普通服务已成交订单数
3.两个统计数独立计算互不包含
4.统计数随订单状态变化动态更新
5.统计数为后端动态计算非硬编码</t>
  </si>
  <si>
    <t>单独看诚心售的订单，了解诚心订单的状态、金额</t>
  </si>
  <si>
    <t>诚心售2.0 - 后台-诚心售订单管理</t>
  </si>
  <si>
    <t>CX-BE-MG-001</t>
  </si>
  <si>
    <t>后台诚心售订单列表展示验证</t>
  </si>
  <si>
    <t>1.登录后台管理系统(有诚心售管理权限)
2.进入诚心售管理模块</t>
  </si>
  <si>
    <t>1.查看诚心售订单列表页面
2.检查列表字段
3.验证列表数据来源
4.对比前台诚心售Tab数据</t>
  </si>
  <si>
    <t>1.后台有独立的诚心售订单管理页面
2.列表显示字段:服务编号/用户/商品/状态/资金状态/奖励状态/金额/时间
3.列表数据与前台诚心售Tab数据一致
4.不包含普通服务订单
5.支持按时间倒序排列
6.列表数据后端参数校验(必填/格式)</t>
  </si>
  <si>
    <t>后台显示正常</t>
  </si>
  <si>
    <t>CX-BE-MG-002</t>
  </si>
  <si>
    <t>后台诚心售订单搜索验证</t>
  </si>
  <si>
    <t>1.登录后台管理系统
2.进入诚心售订单管理</t>
  </si>
  <si>
    <t>1.按服务编号搜索
2.按商品编号搜索
3.按用户ID/用户名搜索
4.按订单状态搜索
5.组合条件搜索
6.搜索不存在的数据</t>
  </si>
  <si>
    <t>1.服务编号搜索精确匹配
2.商品编号搜索返回关联订单
3.用户ID搜索返回该用户所有诚心售订单
4.状态搜索筛选准确
5.组合搜索为AND条件
6.无结果时显示空状态
7.搜索支持后端分页非全量加载</t>
  </si>
  <si>
    <t>后台显示正常，对订单可以搜索</t>
  </si>
  <si>
    <t>CX-BE-MG-003</t>
  </si>
  <si>
    <t>后台诚心售订单状态筛选验证</t>
  </si>
  <si>
    <t>1.筛选「待支付」状态
2.筛选「已开通」状态
3.筛选「已取消」状态
4.筛选「已违约」状态
5.筛选「已成交」状态
6.筛选「全部」状态</t>
  </si>
  <si>
    <t>1.各状态筛选结果准确
2.待支付:显示待支付订单
3.已开通:显示已开通订单
4.已取消/已违约/已成交:对应状态订单
5.全部:显示所有诚心售订单
6.筛选结果支持分页
7.筛选与搜索可组合使用</t>
  </si>
  <si>
    <t>筛选功能正常</t>
  </si>
  <si>
    <t>CX-BE-MG-004</t>
  </si>
  <si>
    <t>后台诚心售订单详情查看</t>
  </si>
  <si>
    <t>1.登录后台管理系统
2.进入诚心售订单管理
3.点击某订单查看详情</t>
  </si>
  <si>
    <t>1.点击订单编号或「查看」按钮
2.查看详情页字段
3.查看订单操作日志
4.查看关联商品信息
5.查看资金与奖励记录</t>
  </si>
  <si>
    <t>1.详情页显示完整订单信息
2.包含:服务编号/用户信息/商品详情/订单状态/资金状态/奖励状态/金额/时间线
3.操作日志记录所有状态变更
4.关联商品信息可跳转查看
5.资金与奖励记录显示发放/回退明细
6.详情数据与列表数据一致</t>
  </si>
  <si>
    <t>订单记录完整；无法跳转</t>
  </si>
  <si>
    <t>CX-BE-MG-005</t>
  </si>
  <si>
    <t>后台诚心售订单状态操作验证</t>
  </si>
  <si>
    <t>1.登录后台管理系统(有操作权限)
2.进入诚心售订单管理
3.选择待支付或已开通订单</t>
  </si>
  <si>
    <t>1.尝试后台修改订单状态
2.尝试标记违约
3.尝试手动完成订单
4.尝试操作终态订单
5.检查操作日志记录</t>
  </si>
  <si>
    <t>1.后台可执行状态流转操作(标记违约/确认成交等)
2.状态变更后前台同步更新
3.操作需二次确认
4.终态订单(已取消/已违约/已成交)不可操作
5.后端状态机校验拦截非法流转
6.所有操作记录审计日志(操作人/时间/前后状态)</t>
  </si>
  <si>
    <t>CX-BE-MG-006</t>
  </si>
  <si>
    <t>后台诚心售管理权限校验(RBAC)</t>
  </si>
  <si>
    <t>1.准备不同角色账号(超管/诚心售管理员/普通客服/无权限)</t>
  </si>
  <si>
    <t>1.超管登录访问诚心售管理
2.诚心售管理员登录访问
3.普通客服登录尝试访问
4.无权限账号尝试访问
5.直接输入URL访问</t>
  </si>
  <si>
    <t>1.超管可访问诚心售管理模块
2.后台有专门的功能模块(非独立角色,是功能模块级别的权限控制)
3.普通客服无访问权限菜单不显示
4.无权限账号URL直接访问被拦截
5.后端权限校验(RBAC角色校验)拦截非法请求
6.返回「无权限」提示
7.权限隔离不泄露数据</t>
  </si>
  <si>
    <t>待优化超管和管理员等级；客服等无操作权限</t>
  </si>
  <si>
    <t>CX-BE-MG-007</t>
  </si>
  <si>
    <t>后台诚心售与普通服务订单管理隔离</t>
  </si>
  <si>
    <t>1.登录后台管理系统
2.分别进入诚心售管理和普通服务订单管理</t>
  </si>
  <si>
    <t>1.诚心售管理列表查看订单
2.普通服务订单管理列表查看订单
3.对比两个列表数据
4.在诚心售管理搜索普通服务订单编号
5.检查两个模块统计数</t>
  </si>
  <si>
    <t>1.诚心售管理仅显示诚心售订单
2.普通服务订单管理不显示诚心售订单
3.两个模块数据完全隔离
4.诚心售管理搜索普通订单返回空
5.两个模块独立统计互不包含
6.隔离为数据层隔离非前端过滤
7.后端接口分离调用</t>
  </si>
  <si>
    <t>诚心售2.0 - 后台-资金状态与履约奖励配置</t>
  </si>
  <si>
    <t>CX-BE-CFG-001</t>
  </si>
  <si>
    <t>诚心卖资金状态配置-规则设置</t>
  </si>
  <si>
    <t>1.登录后台管理系统(有配置权限)
2.进入诚心售-资金状态配置</t>
  </si>
  <si>
    <t>1.查看当前资金状态流转规则
2.修改资金状态流转配置
3.保存配置
4.验证配置生效
5.查看配置变更日志</t>
  </si>
  <si>
    <t>1.配置页显示当前资金状态流转规则
2.可修改资金状态流转规则
3.保存后配置即时生效
4.配置变更记录审计日志
5.后端参数校验(必填/格式/范围)
6.配置变更不影响已完成和正在开启的订单,仅影响将要开启的订单
7.配置页面权限校验(RBAC)</t>
  </si>
  <si>
    <t>对已经开通的诚心售不做回滚，对未开启的进行实时同步，以后台当前状态为准</t>
  </si>
  <si>
    <t>CX-BE-CFG-002</t>
  </si>
  <si>
    <t>诚心卖资金状态配置-参数校验</t>
  </si>
  <si>
    <t>1.登录后台管理系统
2.进入资金状态配置页</t>
  </si>
  <si>
    <t>1.必填项留空提交
2.输入非法格式数据
3.输入超范围数值
4.输入特殊字符
5.提交正常数据</t>
  </si>
  <si>
    <t>1.必填项留空→后端参数校验拦截提示「XX为必填项」
2.非法格式→拦截并提示正确格式
3.超范围数值→拦截并提示范围
4.特殊字符→拦截或转义处理
5.正常数据→保存成功
6.所有校验在前后端双重执行</t>
  </si>
  <si>
    <t>未对诚心售的金额进行限制，超过自动变为Infinity</t>
  </si>
  <si>
    <t>CX-BE-CFG-003</t>
  </si>
  <si>
    <t>履约奖励发放规则配置</t>
  </si>
  <si>
    <t>1.登录后台管理系统
2.进入诚心售-奖励配置</t>
  </si>
  <si>
    <t>1.查看当前奖励发放规则
2.修改奖励发放规则
3.保存配置
4.验证规则对前台订单的影响
5.查看配置变更日志</t>
  </si>
  <si>
    <t>1.配置页显示当前奖励发放规则
2.可修改发放规则
3.保存后即时生效
4.新规则适用于新生成的奖励(交易完成时发放)
5.已发放奖励不受影响
6.配置变更记录审计日志
7.后端参数校验(必填/格式/范围)</t>
  </si>
  <si>
    <t>可更改发放奖励，实时同步给用户</t>
  </si>
  <si>
    <t>CX-BE-CFG-004</t>
  </si>
  <si>
    <t>履约奖励发放时机配置</t>
  </si>
  <si>
    <t>1.查看当前发放时机配置
2.修改发放时机(如租期到期/确认收货后)
3.保存配置
4.验证时机变更对订单的影响
5.对比配置前后订单的奖励发放</t>
  </si>
  <si>
    <t>1.配置页显示当前发放时机
2.可修改发放时机条件
3.保存后新订单按新时机发放(交易完成时发放)
4.已有订单按原时机执行
5.时机变更记录审计日志
6.后端状态机校验确保时机合法性
7.并发场景下奖励不重复发放(后端并发校验乐观锁)</t>
  </si>
  <si>
    <t>CX-BE-CFG-005</t>
  </si>
  <si>
    <t>资金状态配置并发校验(乐观锁)</t>
  </si>
  <si>
    <t>1.准备两个管理员账号
2.同时打开资金状态配置页</t>
  </si>
  <si>
    <t>1.管理员A修改配置项X
2.管理员B同时修改配置项X为不同值
3.管理员A先保存
4.管理员B后保存
5.检查最终配置值
6.检查审计日志</t>
  </si>
  <si>
    <t>1.管理员A保存成功
2.管理员B保存被拦截(乐观锁冲突)
3.提示「配置已被他人修改请刷新后重试」
4.最终配置值为管理员A的修改
5.审计日志记录两次操作(一成功一失败)
6.后端并发校验(乐观锁/分布式锁)生效
7.不产生配置数据覆盖</t>
  </si>
  <si>
    <t>有乐观锁</t>
  </si>
  <si>
    <t>CX-BE-CFG-006</t>
  </si>
  <si>
    <t>配置变更对已存在订单影响验证</t>
  </si>
  <si>
    <t>1.准备已开通的诚心售订单
2.登录后台修改资金状态/奖励配置</t>
  </si>
  <si>
    <t>1.记录订单当前资金状态和奖励状态
2.修改资金状态流转规则
3.修改奖励发放规则
4.查看已存在订单的资金状态
5.查看已存在订单的奖励发放
6.对比配置前后订单行为</t>
  </si>
  <si>
    <t>1.配置变更不影响已完成和正在正常开启的诚心售订单
2.已发放奖励不因配置变更而回退
3.将要开启的订单按新配置执行(以下单购买服务时系统的实时情况判断)
4.审计日志记录配置变更与影响范围
5.后端状态机校验确保配置变更不破坏已有数据</t>
  </si>
  <si>
    <t>CX-BE-CFG-007</t>
  </si>
  <si>
    <t>配置操作审计日志验证</t>
  </si>
  <si>
    <t>1.登录后台管理系统
2.执行多笔配置操作
3.查看审计日志</t>
  </si>
  <si>
    <t>1.修改资金状态配置
2.修改奖励发放规则
3.修改发放时机
4.查看审计日志列表
5.筛选审计日志
6.验证日志字段完整性</t>
  </si>
  <si>
    <t>1.每笔配置操作生成审计日志
2.日志字段:操作人/操作时间/操作类型/修改前值/修改后值/IP
3.日志不可篡改不可删除
4.日志支持按时间/操作人/类型筛选
5.日志支持分页查看
6.删除配置也记录日志
7.后端权限校验(RBAC)控制日志查看权限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</si>
</sst>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41">
    <font>
      <sz val="11"/>
      <color theme="1"/>
      <name val="Noto Sans SC"/>
      <charset val="134"/>
    </font>
    <font>
      <b/>
      <sz val="14"/>
      <color rgb="FF1F2937"/>
      <name val="微软雅黑"/>
      <charset val="1"/>
    </font>
    <font>
      <b/>
      <sz val="11"/>
      <color rgb="FFFFFFFF"/>
      <name val="微软雅黑"/>
      <charset val="1"/>
    </font>
    <font>
      <b/>
      <sz val="10"/>
      <color rgb="FF1F2937"/>
      <name val="微软雅黑"/>
      <charset val="1"/>
    </font>
    <font>
      <sz val="10"/>
      <name val="微软雅黑"/>
      <charset val="1"/>
    </font>
    <font>
      <b/>
      <sz val="10"/>
      <color rgb="FFEA580C"/>
      <name val="微软雅黑"/>
      <charset val="1"/>
    </font>
    <font>
      <b/>
      <sz val="10"/>
      <color rgb="FF00B050"/>
      <name val="微软雅黑"/>
      <charset val="1"/>
    </font>
    <font>
      <sz val="10"/>
      <color rgb="FF2563EB"/>
      <name val="微软雅黑"/>
      <charset val="1"/>
    </font>
    <font>
      <b/>
      <sz val="10"/>
      <color rgb="FFFF0000"/>
      <name val="微软雅黑"/>
      <charset val="1"/>
    </font>
    <font>
      <sz val="10"/>
      <color rgb="FF6B7280"/>
      <name val="微软雅黑"/>
      <charset val="1"/>
    </font>
    <font>
      <b/>
      <sz val="10"/>
      <color rgb="FFDC2626"/>
      <name val="微软雅黑"/>
      <charset val="1"/>
    </font>
    <font>
      <b/>
      <sz val="11"/>
      <color rgb="FF16A34A"/>
      <name val="微软雅黑"/>
      <charset val="1"/>
    </font>
    <font>
      <sz val="11"/>
      <color rgb="FF1F2937"/>
      <name val="微软雅黑"/>
      <charset val="1"/>
    </font>
    <font>
      <b/>
      <sz val="11"/>
      <color rgb="FF1F2937"/>
      <name val="微软雅黑"/>
      <charset val="1"/>
    </font>
    <font>
      <sz val="10"/>
      <color rgb="FF9CA3AF"/>
      <name val="微软雅黑"/>
      <charset val="1"/>
    </font>
    <font>
      <b/>
      <sz val="12"/>
      <color rgb="FFFFFFFF"/>
      <name val="微软雅黑"/>
      <charset val="1"/>
    </font>
    <font>
      <b/>
      <sz val="11"/>
      <color rgb="FFDC2626"/>
      <name val="微软雅黑"/>
      <charset val="1"/>
    </font>
    <font>
      <b/>
      <sz val="11"/>
      <color rgb="FFCA8A04"/>
      <name val="微软雅黑"/>
      <charset val="1"/>
    </font>
    <font>
      <sz val="11"/>
      <color rgb="FF6B7280"/>
      <name val="微软雅黑"/>
      <charset val="1"/>
    </font>
    <font>
      <b/>
      <sz val="11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2563EB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AF2FF"/>
        <bgColor rgb="FFF7F9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/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Border="0" applyAlignment="0" applyProtection="0"/>
    <xf numFmtId="44" fontId="20" fillId="0" borderId="0" applyBorder="0" applyAlignment="0" applyProtection="0"/>
    <xf numFmtId="9" fontId="20" fillId="0" borderId="0" applyBorder="0" applyAlignment="0" applyProtection="0"/>
    <xf numFmtId="41" fontId="20" fillId="0" borderId="0" applyBorder="0" applyAlignment="0" applyProtection="0"/>
    <xf numFmtId="42" fontId="20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6" applyNumberFormat="0" applyAlignment="0" applyProtection="0">
      <alignment vertical="center"/>
    </xf>
    <xf numFmtId="0" fontId="31" fillId="8" borderId="7" applyNumberFormat="0" applyAlignment="0" applyProtection="0">
      <alignment vertical="center"/>
    </xf>
    <xf numFmtId="0" fontId="32" fillId="8" borderId="6" applyNumberFormat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0" borderId="0" xfId="0" applyAlignment="1"/>
    <xf numFmtId="0" fontId="1" fillId="0" borderId="0" xfId="0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center" wrapText="1"/>
    </xf>
    <xf numFmtId="0" fontId="13" fillId="0" borderId="0" xfId="0" applyFont="1" applyAlignment="1"/>
    <xf numFmtId="0" fontId="10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/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6" fillId="4" borderId="1" xfId="0" applyFont="1" applyFill="1" applyBorder="1" applyAlignment="1"/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17" fillId="3" borderId="1" xfId="0" applyFont="1" applyFill="1" applyBorder="1" applyAlignment="1"/>
    <xf numFmtId="0" fontId="18" fillId="4" borderId="1" xfId="0" applyFont="1" applyFill="1" applyBorder="1" applyAlignment="1"/>
    <xf numFmtId="0" fontId="19" fillId="5" borderId="1" xfId="0" applyFont="1" applyFill="1" applyBorder="1" applyAlignment="1"/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7F9FC"/>
      <rgbColor rgb="00EAF2FF"/>
      <rgbColor rgb="00660066"/>
      <rgbColor rgb="00FF8080"/>
      <rgbColor rgb="004472C4"/>
      <rgbColor rgb="00D9DE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563EB"/>
      <rgbColor rgb="0033CCCC"/>
      <rgbColor rgb="0099CC00"/>
      <rgbColor rgb="00FFCC00"/>
      <rgbColor rgb="00CA8A04"/>
      <rgbColor rgb="00EA580C"/>
      <rgbColor rgb="006B7280"/>
      <rgbColor rgb="009CA3AF"/>
      <rgbColor rgb="00003366"/>
      <rgbColor rgb="0016A34A"/>
      <rgbColor rgb="00003300"/>
      <rgbColor rgb="00333300"/>
      <rgbColor rgb="00993300"/>
      <rgbColor rgb="00993366"/>
      <rgbColor rgb="00333399"/>
      <rgbColor rgb="00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9</xdr:col>
      <xdr:colOff>598590</xdr:colOff>
      <xdr:row>23</xdr:row>
      <xdr:rowOff>227800</xdr:rowOff>
    </xdr:from>
    <xdr:to>
      <xdr:col>13</xdr:col>
      <xdr:colOff>393210</xdr:colOff>
      <xdr:row>24</xdr:row>
      <xdr:rowOff>349200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2222285</xdr:colOff>
      <xdr:row>13</xdr:row>
      <xdr:rowOff>189700</xdr:rowOff>
    </xdr:from>
    <xdr:to>
      <xdr:col>6</xdr:col>
      <xdr:colOff>677690</xdr:colOff>
      <xdr:row>15</xdr:row>
      <xdr:rowOff>82500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420155</xdr:colOff>
      <xdr:row>6</xdr:row>
      <xdr:rowOff>1104100</xdr:rowOff>
    </xdr:from>
    <xdr:to>
      <xdr:col>5</xdr:col>
      <xdr:colOff>2620155</xdr:colOff>
      <xdr:row>7</xdr:row>
      <xdr:rowOff>253950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420155</xdr:colOff>
      <xdr:row>6</xdr:row>
      <xdr:rowOff>1104100</xdr:rowOff>
    </xdr:from>
    <xdr:to>
      <xdr:col>5</xdr:col>
      <xdr:colOff>2620155</xdr:colOff>
      <xdr:row>7</xdr:row>
      <xdr:rowOff>253950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304800</xdr:colOff>
      <xdr:row>32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4298950" y="13925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420155</xdr:colOff>
      <xdr:row>6</xdr:row>
      <xdr:rowOff>1104100</xdr:rowOff>
    </xdr:from>
    <xdr:to>
      <xdr:col>5</xdr:col>
      <xdr:colOff>2620155</xdr:colOff>
      <xdr:row>7</xdr:row>
      <xdr:rowOff>253950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420155</xdr:colOff>
      <xdr:row>6</xdr:row>
      <xdr:rowOff>1104100</xdr:rowOff>
    </xdr:from>
    <xdr:to>
      <xdr:col>5</xdr:col>
      <xdr:colOff>2620155</xdr:colOff>
      <xdr:row>7</xdr:row>
      <xdr:rowOff>253950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420155</xdr:colOff>
      <xdr:row>6</xdr:row>
      <xdr:rowOff>1104100</xdr:rowOff>
    </xdr:from>
    <xdr:to>
      <xdr:col>5</xdr:col>
      <xdr:colOff>2620155</xdr:colOff>
      <xdr:row>7</xdr:row>
      <xdr:rowOff>253950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420155</xdr:colOff>
      <xdr:row>6</xdr:row>
      <xdr:rowOff>1104100</xdr:rowOff>
    </xdr:from>
    <xdr:to>
      <xdr:col>5</xdr:col>
      <xdr:colOff>2620155</xdr:colOff>
      <xdr:row>7</xdr:row>
      <xdr:rowOff>253950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opLeftCell="A14" workbookViewId="0">
      <selection activeCell="B42" sqref="B42"/>
    </sheetView>
  </sheetViews>
  <sheetFormatPr defaultColWidth="7.89166666666667" defaultRowHeight="18" outlineLevelCol="6"/>
  <cols>
    <col min="1" max="1" width="21.85" style="1" customWidth="1"/>
    <col min="2" max="7" width="7.29166666666667" style="1" customWidth="1"/>
  </cols>
  <sheetData>
    <row r="1" ht="21" customHeight="1" spans="1:7">
      <c r="A1" s="2" t="s">
        <v>0</v>
      </c>
      <c r="B1" s="2"/>
      <c r="C1" s="2"/>
      <c r="D1" s="2"/>
      <c r="E1" s="2"/>
      <c r="F1" s="2"/>
      <c r="G1" s="2"/>
    </row>
    <row r="3" customHeight="1" spans="1:7">
      <c r="A3" s="22" t="s">
        <v>1</v>
      </c>
    </row>
    <row r="4" ht="26.25" customHeight="1" spans="1:7">
      <c r="A4" s="23" t="s">
        <v>2</v>
      </c>
      <c r="B4" s="24" t="s">
        <v>3</v>
      </c>
      <c r="C4" s="24"/>
      <c r="D4" s="24"/>
      <c r="E4" s="24"/>
      <c r="F4" s="24"/>
      <c r="G4" s="24"/>
    </row>
    <row r="5" ht="26.25" customHeight="1" spans="1:7">
      <c r="A5" s="25" t="s">
        <v>4</v>
      </c>
      <c r="B5" s="24" t="s">
        <v>5</v>
      </c>
      <c r="C5" s="24"/>
      <c r="D5" s="24"/>
      <c r="E5" s="24"/>
      <c r="F5" s="24"/>
      <c r="G5" s="24"/>
    </row>
    <row r="6" ht="26.25" customHeight="1" spans="1:7">
      <c r="A6" s="26" t="s">
        <v>6</v>
      </c>
      <c r="B6" s="24" t="s">
        <v>7</v>
      </c>
      <c r="C6" s="24"/>
      <c r="D6" s="24"/>
      <c r="E6" s="24"/>
      <c r="F6" s="24"/>
      <c r="G6" s="24"/>
    </row>
    <row r="7" ht="26.25" customHeight="1" spans="1:7">
      <c r="A7" s="27" t="s">
        <v>8</v>
      </c>
      <c r="B7" s="24" t="s">
        <v>9</v>
      </c>
      <c r="C7" s="24"/>
      <c r="D7" s="24"/>
      <c r="E7" s="24"/>
      <c r="F7" s="24"/>
      <c r="G7" s="24"/>
    </row>
    <row r="8" ht="15" customHeight="1" spans="1:7">
      <c r="A8" s="28" t="s">
        <v>10</v>
      </c>
      <c r="B8" s="24" t="s">
        <v>11</v>
      </c>
      <c r="C8" s="24"/>
      <c r="D8" s="24"/>
      <c r="E8" s="24"/>
      <c r="F8" s="24"/>
      <c r="G8" s="24"/>
    </row>
    <row r="10" customHeight="1" spans="1:7">
      <c r="A10" s="22" t="s">
        <v>12</v>
      </c>
    </row>
    <row r="11" ht="15" customHeight="1" spans="1:7">
      <c r="A11" s="29" t="s">
        <v>13</v>
      </c>
      <c r="B11" s="29"/>
      <c r="C11" s="29"/>
      <c r="D11" s="29"/>
      <c r="E11" s="29"/>
      <c r="F11" s="29"/>
      <c r="G11" s="29"/>
    </row>
    <row r="12" ht="15" customHeight="1" spans="1:7">
      <c r="A12" s="29" t="s">
        <v>14</v>
      </c>
      <c r="B12" s="29"/>
      <c r="C12" s="29"/>
      <c r="D12" s="29"/>
      <c r="E12" s="29"/>
      <c r="F12" s="29"/>
      <c r="G12" s="29"/>
    </row>
    <row r="13" ht="15" customHeight="1" spans="1:7">
      <c r="A13" s="29" t="s">
        <v>15</v>
      </c>
      <c r="B13" s="29"/>
      <c r="C13" s="29"/>
      <c r="D13" s="29"/>
      <c r="E13" s="29"/>
      <c r="F13" s="29"/>
      <c r="G13" s="29"/>
    </row>
    <row r="14" ht="15" customHeight="1" spans="1:7">
      <c r="A14" s="29" t="s">
        <v>16</v>
      </c>
      <c r="B14" s="29"/>
      <c r="C14" s="29"/>
      <c r="D14" s="29"/>
      <c r="E14" s="29"/>
      <c r="F14" s="29"/>
      <c r="G14" s="29"/>
    </row>
    <row r="15" ht="15" customHeight="1" spans="1:7">
      <c r="A15" s="29" t="s">
        <v>17</v>
      </c>
      <c r="B15" s="29"/>
      <c r="C15" s="29"/>
      <c r="D15" s="29"/>
      <c r="E15" s="29"/>
      <c r="F15" s="29"/>
      <c r="G15" s="29"/>
    </row>
    <row r="16" ht="15" customHeight="1" spans="1:7">
      <c r="A16" s="29" t="s">
        <v>18</v>
      </c>
      <c r="B16" s="29"/>
      <c r="C16" s="29"/>
      <c r="D16" s="29"/>
      <c r="E16" s="29"/>
      <c r="F16" s="29"/>
      <c r="G16" s="29"/>
    </row>
    <row r="17" ht="15" customHeight="1" spans="1:7">
      <c r="A17" s="29" t="s">
        <v>19</v>
      </c>
      <c r="B17" s="29"/>
      <c r="C17" s="29"/>
      <c r="D17" s="29"/>
      <c r="E17" s="29"/>
      <c r="F17" s="29"/>
      <c r="G17" s="29"/>
    </row>
    <row r="19" customHeight="1" spans="1:7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24</v>
      </c>
      <c r="F19" s="3" t="s">
        <v>25</v>
      </c>
      <c r="G19" s="3" t="s">
        <v>26</v>
      </c>
    </row>
    <row r="20" ht="33" customHeight="1" spans="1:7">
      <c r="A20" s="5" t="s">
        <v>27</v>
      </c>
      <c r="B20" s="30">
        <f>COUNTA('前台-诚心售Tab入口与图标展示'!A3:A1000)</f>
        <v>6</v>
      </c>
      <c r="C20" s="30">
        <f>COUNTIF('前台-诚心售Tab入口与图标展示'!C3:C1000,"P1")</f>
        <v>0</v>
      </c>
      <c r="D20" s="30">
        <f>COUNTIF('前台-诚心售Tab入口与图标展示'!C3:C1000,"P2")</f>
        <v>2</v>
      </c>
      <c r="E20" s="30">
        <f>COUNTIF('前台-诚心售Tab入口与图标展示'!C3:C1000,"P3")</f>
        <v>3</v>
      </c>
      <c r="F20" s="30">
        <f>COUNTIF('前台-诚心售Tab入口与图标展示'!C3:C1000,"P4")</f>
        <v>1</v>
      </c>
      <c r="G20" s="30">
        <f>COUNTIF('前台-诚心售Tab入口与图标展示'!C3:C1000,"P5")</f>
        <v>0</v>
      </c>
    </row>
    <row r="21" ht="33" customHeight="1" spans="1:7">
      <c r="A21" s="9" t="s">
        <v>28</v>
      </c>
      <c r="B21" s="31">
        <f>COUNTA('前台-诚心售订单列表与状态筛选'!A3:A1000)</f>
        <v>7</v>
      </c>
      <c r="C21" s="31">
        <f>COUNTIF('前台-诚心售订单列表与状态筛选'!C3:C1000,"P1")</f>
        <v>0</v>
      </c>
      <c r="D21" s="31">
        <f>COUNTIF('前台-诚心售订单列表与状态筛选'!C3:C1000,"P2")</f>
        <v>4</v>
      </c>
      <c r="E21" s="31">
        <f>COUNTIF('前台-诚心售订单列表与状态筛选'!C3:C1000,"P3")</f>
        <v>3</v>
      </c>
      <c r="F21" s="31">
        <f>COUNTIF('前台-诚心售订单列表与状态筛选'!C3:C1000,"P4")</f>
        <v>0</v>
      </c>
      <c r="G21" s="31">
        <f>COUNTIF('前台-诚心售订单列表与状态筛选'!C3:C1000,"P5")</f>
        <v>0</v>
      </c>
    </row>
    <row r="22" ht="33" customHeight="1" spans="1:7">
      <c r="A22" s="5" t="s">
        <v>29</v>
      </c>
      <c r="B22" s="30">
        <f>COUNTA('前台-诚心售订单操作与状态流转'!A3:A1000)</f>
        <v>7</v>
      </c>
      <c r="C22" s="30">
        <f>COUNTIF('前台-诚心售订单操作与状态流转'!C3:C1000,"P1")</f>
        <v>2</v>
      </c>
      <c r="D22" s="30">
        <f>COUNTIF('前台-诚心售订单操作与状态流转'!C3:C1000,"P2")</f>
        <v>4</v>
      </c>
      <c r="E22" s="30">
        <f>COUNTIF('前台-诚心售订单操作与状态流转'!C3:C1000,"P3")</f>
        <v>1</v>
      </c>
      <c r="F22" s="30">
        <f>COUNTIF('前台-诚心售订单操作与状态流转'!C3:C1000,"P4")</f>
        <v>0</v>
      </c>
      <c r="G22" s="30">
        <f>COUNTIF('前台-诚心售订单操作与状态流转'!C3:C1000,"P5")</f>
        <v>0</v>
      </c>
    </row>
    <row r="23" ht="33" customHeight="1" spans="1:7">
      <c r="A23" s="9" t="s">
        <v>30</v>
      </c>
      <c r="B23" s="31">
        <f>COUNTA('前台-服务列表隔离与跨Tab一致性'!A3:A1000)</f>
        <v>6</v>
      </c>
      <c r="C23" s="31">
        <f>COUNTIF('前台-服务列表隔离与跨Tab一致性'!C3:C1000,"P1")</f>
        <v>0</v>
      </c>
      <c r="D23" s="31">
        <f>COUNTIF('前台-服务列表隔离与跨Tab一致性'!C3:C1000,"P2")</f>
        <v>2</v>
      </c>
      <c r="E23" s="31">
        <f>COUNTIF('前台-服务列表隔离与跨Tab一致性'!C3:C1000,"P3")</f>
        <v>4</v>
      </c>
      <c r="F23" s="31">
        <f>COUNTIF('前台-服务列表隔离与跨Tab一致性'!C3:C1000,"P4")</f>
        <v>0</v>
      </c>
      <c r="G23" s="31">
        <f>COUNTIF('前台-服务列表隔离与跨Tab一致性'!C3:C1000,"P5")</f>
        <v>0</v>
      </c>
    </row>
    <row r="24" customHeight="1" spans="1:7">
      <c r="A24" s="5" t="s">
        <v>31</v>
      </c>
      <c r="B24" s="30">
        <f>COUNTA('后台-诚心售订单管理'!A3:A1000)</f>
        <v>7</v>
      </c>
      <c r="C24" s="30">
        <f>COUNTIF('后台-诚心售订单管理'!C3:C1000,"P1")</f>
        <v>0</v>
      </c>
      <c r="D24" s="30">
        <f>COUNTIF('后台-诚心售订单管理'!C3:C1000,"P2")</f>
        <v>5</v>
      </c>
      <c r="E24" s="30">
        <f>COUNTIF('后台-诚心售订单管理'!C3:C1000,"P3")</f>
        <v>2</v>
      </c>
      <c r="F24" s="30">
        <f>COUNTIF('后台-诚心售订单管理'!C3:C1000,"P4")</f>
        <v>0</v>
      </c>
      <c r="G24" s="30">
        <f>COUNTIF('后台-诚心售订单管理'!C3:C1000,"P5")</f>
        <v>0</v>
      </c>
    </row>
    <row r="25" ht="33" customHeight="1" spans="1:7">
      <c r="A25" s="9" t="s">
        <v>32</v>
      </c>
      <c r="B25" s="31">
        <f>COUNTA('后台-资金状态与履约奖励配置'!A3:A1000)</f>
        <v>7</v>
      </c>
      <c r="C25" s="31">
        <f>COUNTIF('后台-资金状态与履约奖励配置'!C3:C1000,"P1")</f>
        <v>0</v>
      </c>
      <c r="D25" s="31">
        <f>COUNTIF('后台-资金状态与履约奖励配置'!C3:C1000,"P2")</f>
        <v>5</v>
      </c>
      <c r="E25" s="31">
        <f>COUNTIF('后台-资金状态与履约奖励配置'!C3:C1000,"P3")</f>
        <v>1</v>
      </c>
      <c r="F25" s="31">
        <f>COUNTIF('后台-资金状态与履约奖励配置'!C3:C1000,"P4")</f>
        <v>1</v>
      </c>
      <c r="G25" s="31">
        <f>COUNTIF('后台-资金状态与履约奖励配置'!C3:C1000,"P5")</f>
        <v>0</v>
      </c>
    </row>
    <row r="26" customHeight="1" spans="1:7">
      <c r="A26" s="32" t="s">
        <v>33</v>
      </c>
      <c r="B26" s="32">
        <f t="shared" ref="B26:G26" si="0">SUM(B20:B25)</f>
        <v>40</v>
      </c>
      <c r="C26" s="32">
        <f t="shared" si="0"/>
        <v>2</v>
      </c>
      <c r="D26" s="32">
        <f t="shared" si="0"/>
        <v>22</v>
      </c>
      <c r="E26" s="32">
        <f t="shared" si="0"/>
        <v>14</v>
      </c>
      <c r="F26" s="32">
        <f t="shared" si="0"/>
        <v>2</v>
      </c>
      <c r="G26" s="32">
        <f t="shared" si="0"/>
        <v>0</v>
      </c>
    </row>
    <row r="28" customHeight="1" spans="1:7">
      <c r="A28" s="33" t="s">
        <v>34</v>
      </c>
      <c r="B28" s="33"/>
      <c r="C28" s="33"/>
      <c r="D28" s="33"/>
      <c r="E28" s="33"/>
    </row>
    <row r="29" customHeight="1" spans="1:7">
      <c r="A29" s="34" t="s">
        <v>35</v>
      </c>
      <c r="B29" s="34" t="s">
        <v>36</v>
      </c>
      <c r="C29" s="34" t="s">
        <v>37</v>
      </c>
      <c r="D29" s="34" t="s">
        <v>38</v>
      </c>
    </row>
    <row r="30" customHeight="1" spans="1:7">
      <c r="A30" s="35" t="s">
        <v>39</v>
      </c>
      <c r="B30" s="36">
        <f>COUNTIF('前台-诚心售Tab入口与图标展示'!I3:I1000,"*PASS*")+COUNTIF('前台-诚心售订单列表与状态筛选'!I3:I1000,"*PASS*")+COUNTIF('前台-诚心售订单操作与状态流转'!I3:I1000,"*PASS*")+COUNTIF('前台-服务列表隔离与跨Tab一致性'!I3:I1000,"*PASS*")+COUNTIF('后台-诚心售订单管理'!I3:I1000,"*PASS*")+COUNTIF('后台-资金状态与履约奖励配置'!I3:I1000,"*PASS*")</f>
        <v>39</v>
      </c>
      <c r="C30" s="37">
        <f>IF(B30=0,0,B30/B34)</f>
        <v>0.975</v>
      </c>
      <c r="D30" s="36" t="s">
        <v>40</v>
      </c>
    </row>
    <row r="31" customHeight="1" spans="1:7">
      <c r="A31" s="38" t="s">
        <v>41</v>
      </c>
      <c r="B31" s="39">
        <f>COUNTIF('前台-诚心售Tab入口与图标展示'!I3:I1000,"*FAIL*")+COUNTIF('前台-诚心售订单列表与状态筛选'!I3:I1000,"*FAIL*")+COUNTIF('前台-诚心售订单操作与状态流转'!I3:I1000,"*FAIL*")+COUNTIF('前台-服务列表隔离与跨Tab一致性'!I3:I1000,"*FAIL*")+COUNTIF('后台-诚心售订单管理'!I3:I1000,"*FAIL*")+COUNTIF('后台-资金状态与履约奖励配置'!I3:I1000,"*FAIL*")</f>
        <v>1</v>
      </c>
      <c r="C31" s="40">
        <f>IF(B31=0,0,B31/B34)</f>
        <v>0.025</v>
      </c>
      <c r="D31" s="39" t="s">
        <v>42</v>
      </c>
    </row>
    <row r="32" customHeight="1" spans="1:7">
      <c r="A32" s="41" t="s">
        <v>43</v>
      </c>
      <c r="B32" s="36">
        <f>COUNTIF('前台-诚心售Tab入口与图标展示'!I3:I1000,"*TWD*")+COUNTIF('前台-诚心售订单列表与状态筛选'!I3:I1000,"*TWD*")+COUNTIF('前台-诚心售订单操作与状态流转'!I3:I1000,"*TWD*")+COUNTIF('前台-服务列表隔离与跨Tab一致性'!I3:I1000,"*TWD*")+COUNTIF('后台-诚心售订单管理'!I3:I1000,"*TWD*")+COUNTIF('后台-资金状态与履约奖励配置'!I3:I1000,"*TWD*")</f>
        <v>0</v>
      </c>
      <c r="C32" s="37">
        <f>IF(B32=0,0,B32/B34)</f>
        <v>0</v>
      </c>
      <c r="D32" s="36" t="s">
        <v>44</v>
      </c>
    </row>
    <row r="33" customHeight="1" spans="1:4">
      <c r="A33" s="42" t="s">
        <v>45</v>
      </c>
      <c r="B33" s="39">
        <f>B26-B30-B31-B32</f>
        <v>0</v>
      </c>
      <c r="C33" s="40">
        <f>IF(B33=0,0,B33/B34)</f>
        <v>0</v>
      </c>
      <c r="D33" s="39" t="s">
        <v>46</v>
      </c>
    </row>
    <row r="34" customHeight="1" spans="1:4">
      <c r="A34" s="43" t="s">
        <v>33</v>
      </c>
      <c r="B34" s="44">
        <f>B26</f>
        <v>40</v>
      </c>
      <c r="C34" s="45">
        <f>IF(B34=0,0,1)</f>
        <v>1</v>
      </c>
      <c r="D34" s="44"/>
    </row>
  </sheetData>
  <mergeCells count="14">
    <mergeCell ref="A1:G1"/>
    <mergeCell ref="B4:G4"/>
    <mergeCell ref="B5:G5"/>
    <mergeCell ref="B6:G6"/>
    <mergeCell ref="B7:G7"/>
    <mergeCell ref="B8:G8"/>
    <mergeCell ref="A11:G11"/>
    <mergeCell ref="A12:G12"/>
    <mergeCell ref="A13:G13"/>
    <mergeCell ref="A14:G14"/>
    <mergeCell ref="A15:G15"/>
    <mergeCell ref="A16:G16"/>
    <mergeCell ref="A17:G17"/>
    <mergeCell ref="A28:E28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H7" sqref="H7"/>
    </sheetView>
  </sheetViews>
  <sheetFormatPr defaultColWidth="7.89166666666667" defaultRowHeight="18" outlineLevelCol="6"/>
  <cols>
    <col min="1" max="1" width="7.29166666666667" style="1" customWidth="1"/>
    <col min="2" max="2" width="16.3916666666667" style="1" customWidth="1"/>
    <col min="3" max="3" width="36.3916666666667" style="1" customWidth="1"/>
    <col min="4" max="4" width="34.5583333333333" style="1" customWidth="1"/>
    <col min="5" max="6" width="7.29166666666667" style="1" customWidth="1"/>
    <col min="7" max="7" width="50" style="1" customWidth="1"/>
  </cols>
  <sheetData>
    <row r="1" ht="21" customHeight="1" spans="1:7">
      <c r="A1" s="2" t="s">
        <v>47</v>
      </c>
      <c r="B1" s="2"/>
      <c r="C1" s="2"/>
      <c r="D1" s="2"/>
      <c r="E1" s="2"/>
      <c r="F1" s="2"/>
    </row>
    <row r="3" customHeight="1" spans="1:7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</row>
    <row r="4" ht="49.5" customHeight="1" spans="1:7">
      <c r="A4" s="5" t="s">
        <v>55</v>
      </c>
      <c r="B4" s="5" t="s">
        <v>56</v>
      </c>
      <c r="C4" s="5" t="s">
        <v>57</v>
      </c>
      <c r="D4" s="5" t="s">
        <v>58</v>
      </c>
      <c r="E4" s="5" t="s">
        <v>59</v>
      </c>
      <c r="F4" s="18" t="s">
        <v>60</v>
      </c>
      <c r="G4" s="19" t="s">
        <v>61</v>
      </c>
    </row>
    <row r="5" ht="49.5" customHeight="1" spans="1:7">
      <c r="A5" s="9" t="s">
        <v>62</v>
      </c>
      <c r="B5" s="9" t="s">
        <v>63</v>
      </c>
      <c r="C5" s="9" t="s">
        <v>64</v>
      </c>
      <c r="D5" s="9" t="s">
        <v>65</v>
      </c>
      <c r="E5" s="9" t="s">
        <v>59</v>
      </c>
      <c r="F5" s="20" t="s">
        <v>60</v>
      </c>
      <c r="G5" s="21" t="s">
        <v>66</v>
      </c>
    </row>
    <row r="6" ht="49.5" customHeight="1" spans="1:7">
      <c r="A6" s="5" t="s">
        <v>67</v>
      </c>
      <c r="B6" s="5" t="s">
        <v>68</v>
      </c>
      <c r="C6" s="5" t="s">
        <v>69</v>
      </c>
      <c r="D6" s="5" t="s">
        <v>70</v>
      </c>
      <c r="E6" s="5" t="s">
        <v>71</v>
      </c>
      <c r="F6" s="18" t="s">
        <v>60</v>
      </c>
      <c r="G6" s="19" t="s">
        <v>72</v>
      </c>
    </row>
    <row r="7" ht="49.5" customHeight="1" spans="1:7">
      <c r="A7" s="9" t="s">
        <v>73</v>
      </c>
      <c r="B7" s="9" t="s">
        <v>74</v>
      </c>
      <c r="C7" s="9" t="s">
        <v>75</v>
      </c>
      <c r="D7" s="9" t="s">
        <v>76</v>
      </c>
      <c r="E7" s="9" t="s">
        <v>71</v>
      </c>
      <c r="F7" s="20" t="s">
        <v>60</v>
      </c>
      <c r="G7" s="21" t="s">
        <v>77</v>
      </c>
    </row>
    <row r="8" ht="49.5" customHeight="1" spans="1:7">
      <c r="A8" s="5" t="s">
        <v>78</v>
      </c>
      <c r="B8" s="5" t="s">
        <v>79</v>
      </c>
      <c r="C8" s="5" t="s">
        <v>80</v>
      </c>
      <c r="D8" s="5" t="s">
        <v>81</v>
      </c>
      <c r="E8" s="5" t="s">
        <v>71</v>
      </c>
      <c r="F8" s="18" t="s">
        <v>60</v>
      </c>
      <c r="G8" s="19" t="s">
        <v>82</v>
      </c>
    </row>
    <row r="9" ht="49.5" customHeight="1" spans="1:7">
      <c r="A9" s="9" t="s">
        <v>83</v>
      </c>
      <c r="B9" s="9" t="s">
        <v>84</v>
      </c>
      <c r="C9" s="9" t="s">
        <v>85</v>
      </c>
      <c r="D9" s="9" t="s">
        <v>86</v>
      </c>
      <c r="E9" s="9" t="s">
        <v>59</v>
      </c>
      <c r="F9" s="20" t="s">
        <v>60</v>
      </c>
      <c r="G9" s="21" t="s">
        <v>87</v>
      </c>
    </row>
    <row r="10" ht="49.5" customHeight="1" spans="1:7">
      <c r="A10" s="5" t="s">
        <v>88</v>
      </c>
      <c r="B10" s="5" t="s">
        <v>89</v>
      </c>
      <c r="C10" s="5" t="s">
        <v>90</v>
      </c>
      <c r="D10" s="5" t="s">
        <v>91</v>
      </c>
      <c r="E10" s="5" t="s">
        <v>92</v>
      </c>
      <c r="F10" s="18" t="s">
        <v>60</v>
      </c>
      <c r="G10" s="19" t="s">
        <v>93</v>
      </c>
    </row>
    <row r="11" ht="49.5" customHeight="1" spans="1:7">
      <c r="A11" s="9" t="s">
        <v>94</v>
      </c>
      <c r="B11" s="9" t="s">
        <v>95</v>
      </c>
      <c r="C11" s="9" t="s">
        <v>96</v>
      </c>
      <c r="D11" s="9" t="s">
        <v>97</v>
      </c>
      <c r="E11" s="9" t="s">
        <v>92</v>
      </c>
      <c r="F11" s="20" t="s">
        <v>60</v>
      </c>
      <c r="G11" s="21" t="s">
        <v>98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pane ySplit="2" topLeftCell="A3" activePane="bottomLeft" state="frozen"/>
      <selection/>
      <selection pane="bottomLeft" activeCell="K8" sqref="K8"/>
    </sheetView>
  </sheetViews>
  <sheetFormatPr defaultColWidth="7.89166666666667" defaultRowHeight="18" outlineLevelRow="7"/>
  <cols>
    <col min="1" max="1" width="14.5583333333333" style="1" customWidth="1"/>
    <col min="2" max="2" width="25.4666666666667" style="1" customWidth="1"/>
    <col min="3" max="3" width="7.29166666666667" style="1" customWidth="1"/>
    <col min="4" max="4" width="9.1" style="1" customWidth="1"/>
    <col min="5" max="5" width="27.3083333333333" style="1" customWidth="1"/>
    <col min="6" max="6" width="40.0333333333333" style="1" customWidth="1"/>
    <col min="7" max="7" width="41.85" style="1" customWidth="1"/>
    <col min="8" max="8" width="16.3916666666667" style="1" customWidth="1"/>
    <col min="9" max="9" width="9.1" style="1" customWidth="1"/>
  </cols>
  <sheetData>
    <row r="1" ht="21" customHeight="1" spans="1:9">
      <c r="A1" s="2" t="s">
        <v>99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3" t="s">
        <v>107</v>
      </c>
      <c r="I2" s="3" t="s">
        <v>108</v>
      </c>
    </row>
    <row r="3" ht="94.5" customHeight="1" spans="1:9">
      <c r="A3" s="4" t="s">
        <v>109</v>
      </c>
      <c r="B3" s="5" t="s">
        <v>110</v>
      </c>
      <c r="C3" s="6" t="s">
        <v>23</v>
      </c>
      <c r="D3" s="5" t="s">
        <v>111</v>
      </c>
      <c r="E3" s="5" t="s">
        <v>112</v>
      </c>
      <c r="F3" s="5" t="s">
        <v>113</v>
      </c>
      <c r="G3" s="5" t="s">
        <v>114</v>
      </c>
      <c r="H3" s="5" t="s">
        <v>115</v>
      </c>
      <c r="I3" s="7" t="s">
        <v>39</v>
      </c>
    </row>
    <row r="4" ht="94.5" customHeight="1" spans="1:9">
      <c r="A4" s="8" t="s">
        <v>116</v>
      </c>
      <c r="B4" s="9" t="s">
        <v>117</v>
      </c>
      <c r="C4" s="10" t="s">
        <v>24</v>
      </c>
      <c r="D4" s="9" t="s">
        <v>111</v>
      </c>
      <c r="E4" s="9" t="s">
        <v>118</v>
      </c>
      <c r="F4" s="9" t="s">
        <v>119</v>
      </c>
      <c r="G4" s="9" t="s">
        <v>120</v>
      </c>
      <c r="H4" s="9" t="s">
        <v>121</v>
      </c>
      <c r="I4" s="13" t="s">
        <v>39</v>
      </c>
    </row>
    <row r="5" ht="94.5" customHeight="1" spans="1:9">
      <c r="A5" s="4" t="s">
        <v>122</v>
      </c>
      <c r="B5" s="5" t="s">
        <v>123</v>
      </c>
      <c r="C5" s="15" t="s">
        <v>24</v>
      </c>
      <c r="D5" s="5" t="s">
        <v>111</v>
      </c>
      <c r="E5" s="5" t="s">
        <v>118</v>
      </c>
      <c r="F5" s="5" t="s">
        <v>124</v>
      </c>
      <c r="G5" s="5" t="s">
        <v>125</v>
      </c>
      <c r="H5" s="5" t="s">
        <v>126</v>
      </c>
      <c r="I5" s="7" t="s">
        <v>39</v>
      </c>
    </row>
    <row r="6" ht="94.5" customHeight="1" spans="1:9">
      <c r="A6" s="8" t="s">
        <v>127</v>
      </c>
      <c r="B6" s="9" t="s">
        <v>128</v>
      </c>
      <c r="C6" s="10" t="s">
        <v>24</v>
      </c>
      <c r="D6" s="9" t="s">
        <v>111</v>
      </c>
      <c r="E6" s="9" t="s">
        <v>118</v>
      </c>
      <c r="F6" s="9" t="s">
        <v>129</v>
      </c>
      <c r="G6" s="9" t="s">
        <v>130</v>
      </c>
      <c r="H6" s="9" t="s">
        <v>131</v>
      </c>
      <c r="I6" s="13" t="s">
        <v>39</v>
      </c>
    </row>
    <row r="7" ht="94.5" customHeight="1" spans="1:9">
      <c r="A7" s="4" t="s">
        <v>132</v>
      </c>
      <c r="B7" s="5" t="s">
        <v>133</v>
      </c>
      <c r="C7" s="6" t="s">
        <v>23</v>
      </c>
      <c r="D7" s="5" t="s">
        <v>111</v>
      </c>
      <c r="E7" s="5" t="s">
        <v>134</v>
      </c>
      <c r="F7" s="5" t="s">
        <v>135</v>
      </c>
      <c r="G7" s="5" t="s">
        <v>136</v>
      </c>
      <c r="H7" s="5" t="s">
        <v>137</v>
      </c>
      <c r="I7" s="7" t="s">
        <v>39</v>
      </c>
    </row>
    <row r="8" ht="94.5" customHeight="1" spans="1:9">
      <c r="A8" s="8" t="s">
        <v>138</v>
      </c>
      <c r="B8" s="9" t="s">
        <v>139</v>
      </c>
      <c r="C8" s="17" t="s">
        <v>25</v>
      </c>
      <c r="D8" s="9" t="s">
        <v>111</v>
      </c>
      <c r="E8" s="9" t="s">
        <v>140</v>
      </c>
      <c r="F8" s="9" t="s">
        <v>141</v>
      </c>
      <c r="G8" s="9" t="s">
        <v>142</v>
      </c>
      <c r="H8" s="9" t="s">
        <v>143</v>
      </c>
      <c r="I8" s="13" t="s">
        <v>39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pane ySplit="2" topLeftCell="A4" activePane="bottomLeft" state="frozen"/>
      <selection/>
      <selection pane="bottomLeft" activeCell="I7" sqref="I7:I8"/>
    </sheetView>
  </sheetViews>
  <sheetFormatPr defaultColWidth="7.89166666666667" defaultRowHeight="18"/>
  <cols>
    <col min="1" max="1" width="14.5583333333333" style="1" customWidth="1"/>
    <col min="2" max="2" width="25.4666666666667" style="1" customWidth="1"/>
    <col min="3" max="3" width="7.29166666666667" style="1" customWidth="1"/>
    <col min="4" max="4" width="9.1" style="1" customWidth="1"/>
    <col min="5" max="5" width="27.3083333333333" style="1" customWidth="1"/>
    <col min="6" max="6" width="40.0333333333333" style="1" customWidth="1"/>
    <col min="7" max="7" width="41.85" style="1" customWidth="1"/>
    <col min="8" max="8" width="29.375" style="1" customWidth="1"/>
    <col min="9" max="9" width="9.1" style="1" customWidth="1"/>
  </cols>
  <sheetData>
    <row r="1" ht="21" customHeight="1" spans="1:9">
      <c r="A1" s="2" t="s">
        <v>144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3" t="s">
        <v>107</v>
      </c>
      <c r="I2" s="3" t="s">
        <v>108</v>
      </c>
    </row>
    <row r="3" ht="94.5" customHeight="1" spans="1:9">
      <c r="A3" s="4" t="s">
        <v>145</v>
      </c>
      <c r="B3" s="5" t="s">
        <v>146</v>
      </c>
      <c r="C3" s="6" t="s">
        <v>23</v>
      </c>
      <c r="D3" s="5" t="s">
        <v>111</v>
      </c>
      <c r="E3" s="5" t="s">
        <v>147</v>
      </c>
      <c r="F3" s="5" t="s">
        <v>148</v>
      </c>
      <c r="G3" s="5" t="s">
        <v>149</v>
      </c>
      <c r="H3" s="5" t="s">
        <v>150</v>
      </c>
      <c r="I3" s="7" t="s">
        <v>39</v>
      </c>
    </row>
    <row r="4" ht="94.5" customHeight="1" spans="1:9">
      <c r="A4" s="8" t="s">
        <v>151</v>
      </c>
      <c r="B4" s="9" t="s">
        <v>152</v>
      </c>
      <c r="C4" s="12" t="s">
        <v>23</v>
      </c>
      <c r="D4" s="9" t="s">
        <v>111</v>
      </c>
      <c r="E4" s="9" t="s">
        <v>153</v>
      </c>
      <c r="F4" s="9" t="s">
        <v>154</v>
      </c>
      <c r="G4" s="9" t="s">
        <v>155</v>
      </c>
      <c r="H4" s="9" t="s">
        <v>121</v>
      </c>
      <c r="I4" s="13" t="s">
        <v>39</v>
      </c>
    </row>
    <row r="5" ht="94.5" customHeight="1" spans="1:9">
      <c r="A5" s="4" t="s">
        <v>156</v>
      </c>
      <c r="B5" s="5" t="s">
        <v>157</v>
      </c>
      <c r="C5" s="6" t="s">
        <v>23</v>
      </c>
      <c r="D5" s="5" t="s">
        <v>111</v>
      </c>
      <c r="E5" s="5" t="s">
        <v>153</v>
      </c>
      <c r="F5" s="5" t="s">
        <v>158</v>
      </c>
      <c r="G5" s="5" t="s">
        <v>159</v>
      </c>
      <c r="H5" s="5" t="s">
        <v>160</v>
      </c>
      <c r="I5" s="7" t="s">
        <v>39</v>
      </c>
    </row>
    <row r="6" ht="94.5" customHeight="1" spans="1:9">
      <c r="A6" s="8" t="s">
        <v>161</v>
      </c>
      <c r="B6" s="9" t="s">
        <v>162</v>
      </c>
      <c r="C6" s="10" t="s">
        <v>24</v>
      </c>
      <c r="D6" s="9" t="s">
        <v>111</v>
      </c>
      <c r="E6" s="9" t="s">
        <v>163</v>
      </c>
      <c r="F6" s="9" t="s">
        <v>164</v>
      </c>
      <c r="G6" s="9" t="s">
        <v>165</v>
      </c>
      <c r="H6" s="9" t="s">
        <v>166</v>
      </c>
      <c r="I6" s="13" t="s">
        <v>39</v>
      </c>
    </row>
    <row r="7" ht="94.5" customHeight="1" spans="1:9">
      <c r="A7" s="4" t="s">
        <v>167</v>
      </c>
      <c r="B7" s="5" t="s">
        <v>168</v>
      </c>
      <c r="C7" s="15" t="s">
        <v>24</v>
      </c>
      <c r="D7" s="5" t="s">
        <v>111</v>
      </c>
      <c r="E7" s="5" t="s">
        <v>169</v>
      </c>
      <c r="F7" s="5" t="s">
        <v>170</v>
      </c>
      <c r="G7" s="5" t="s">
        <v>171</v>
      </c>
      <c r="H7" s="5" t="s">
        <v>172</v>
      </c>
      <c r="I7" s="7" t="s">
        <v>39</v>
      </c>
    </row>
    <row r="8" ht="94.5" customHeight="1" spans="1:9">
      <c r="A8" s="8" t="s">
        <v>173</v>
      </c>
      <c r="B8" s="9" t="s">
        <v>174</v>
      </c>
      <c r="C8" s="12" t="s">
        <v>23</v>
      </c>
      <c r="D8" s="9" t="s">
        <v>111</v>
      </c>
      <c r="E8" s="9" t="s">
        <v>153</v>
      </c>
      <c r="F8" s="9" t="s">
        <v>175</v>
      </c>
      <c r="G8" s="9" t="s">
        <v>176</v>
      </c>
      <c r="H8" s="9" t="s">
        <v>177</v>
      </c>
      <c r="I8" s="13" t="s">
        <v>39</v>
      </c>
    </row>
    <row r="9" ht="94.5" customHeight="1" spans="1:9">
      <c r="A9" s="4" t="s">
        <v>178</v>
      </c>
      <c r="B9" s="5" t="s">
        <v>179</v>
      </c>
      <c r="C9" s="15" t="s">
        <v>24</v>
      </c>
      <c r="D9" s="5" t="s">
        <v>111</v>
      </c>
      <c r="E9" s="5" t="s">
        <v>180</v>
      </c>
      <c r="F9" s="5" t="s">
        <v>181</v>
      </c>
      <c r="G9" s="5" t="s">
        <v>182</v>
      </c>
      <c r="H9" s="5" t="s">
        <v>183</v>
      </c>
      <c r="I9" s="7" t="s">
        <v>39</v>
      </c>
    </row>
    <row r="32" spans="5:5">
      <c r="E32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2" topLeftCell="A5" activePane="bottomLeft" state="frozen"/>
      <selection/>
      <selection pane="bottomLeft" activeCell="I7" sqref="I7:I8"/>
    </sheetView>
  </sheetViews>
  <sheetFormatPr defaultColWidth="7.89166666666667" defaultRowHeight="18"/>
  <cols>
    <col min="1" max="1" width="14.5583333333333" style="1" customWidth="1"/>
    <col min="2" max="2" width="25.4666666666667" style="1" customWidth="1"/>
    <col min="3" max="3" width="7.29166666666667" style="1" customWidth="1"/>
    <col min="4" max="4" width="9.1" style="1" customWidth="1"/>
    <col min="5" max="5" width="27.3083333333333" style="1" customWidth="1"/>
    <col min="6" max="6" width="40.0333333333333" style="1" customWidth="1"/>
    <col min="7" max="7" width="41.85" style="1" customWidth="1"/>
    <col min="8" max="8" width="27.125" style="1" customWidth="1"/>
    <col min="9" max="9" width="9.1" style="1" customWidth="1"/>
  </cols>
  <sheetData>
    <row r="1" ht="21" customHeight="1" spans="1:9">
      <c r="A1" s="2" t="s">
        <v>184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3" t="s">
        <v>107</v>
      </c>
      <c r="I2" s="3" t="s">
        <v>108</v>
      </c>
    </row>
    <row r="3" ht="94.5" customHeight="1" spans="1:9">
      <c r="A3" s="4" t="s">
        <v>185</v>
      </c>
      <c r="B3" s="5" t="s">
        <v>186</v>
      </c>
      <c r="C3" s="16" t="s">
        <v>22</v>
      </c>
      <c r="D3" s="5" t="s">
        <v>111</v>
      </c>
      <c r="E3" s="5" t="s">
        <v>187</v>
      </c>
      <c r="F3" s="5" t="s">
        <v>188</v>
      </c>
      <c r="G3" s="5" t="s">
        <v>189</v>
      </c>
      <c r="H3" s="5" t="s">
        <v>190</v>
      </c>
      <c r="I3" s="7" t="s">
        <v>39</v>
      </c>
    </row>
    <row r="4" ht="94.5" customHeight="1" spans="1:9">
      <c r="A4" s="8" t="s">
        <v>191</v>
      </c>
      <c r="B4" s="9" t="s">
        <v>192</v>
      </c>
      <c r="C4" s="12" t="s">
        <v>23</v>
      </c>
      <c r="D4" s="9" t="s">
        <v>111</v>
      </c>
      <c r="E4" s="9" t="s">
        <v>193</v>
      </c>
      <c r="F4" s="9" t="s">
        <v>194</v>
      </c>
      <c r="G4" s="9" t="s">
        <v>195</v>
      </c>
      <c r="H4" s="9" t="s">
        <v>195</v>
      </c>
      <c r="I4" s="13" t="s">
        <v>39</v>
      </c>
    </row>
    <row r="5" ht="94.5" customHeight="1" spans="1:9">
      <c r="A5" s="4" t="s">
        <v>196</v>
      </c>
      <c r="B5" s="5" t="s">
        <v>197</v>
      </c>
      <c r="C5" s="16" t="s">
        <v>22</v>
      </c>
      <c r="D5" s="5" t="s">
        <v>111</v>
      </c>
      <c r="E5" s="5" t="s">
        <v>198</v>
      </c>
      <c r="F5" s="5" t="s">
        <v>199</v>
      </c>
      <c r="G5" s="5" t="s">
        <v>200</v>
      </c>
      <c r="H5" s="5" t="s">
        <v>201</v>
      </c>
      <c r="I5" s="7" t="s">
        <v>39</v>
      </c>
    </row>
    <row r="6" ht="94.5" customHeight="1" spans="1:9">
      <c r="A6" s="8" t="s">
        <v>202</v>
      </c>
      <c r="B6" s="9" t="s">
        <v>203</v>
      </c>
      <c r="C6" s="10" t="s">
        <v>24</v>
      </c>
      <c r="D6" s="9" t="s">
        <v>111</v>
      </c>
      <c r="E6" s="9" t="s">
        <v>204</v>
      </c>
      <c r="F6" s="9" t="s">
        <v>205</v>
      </c>
      <c r="G6" s="9" t="s">
        <v>206</v>
      </c>
      <c r="H6" s="9" t="s">
        <v>203</v>
      </c>
      <c r="I6" s="13" t="s">
        <v>39</v>
      </c>
    </row>
    <row r="7" ht="94.5" customHeight="1" spans="1:9">
      <c r="A7" s="4" t="s">
        <v>207</v>
      </c>
      <c r="B7" s="5" t="s">
        <v>208</v>
      </c>
      <c r="C7" s="6" t="s">
        <v>23</v>
      </c>
      <c r="D7" s="5" t="s">
        <v>111</v>
      </c>
      <c r="E7" s="5" t="s">
        <v>209</v>
      </c>
      <c r="F7" s="5" t="s">
        <v>210</v>
      </c>
      <c r="G7" s="5" t="s">
        <v>211</v>
      </c>
      <c r="H7" s="5" t="s">
        <v>212</v>
      </c>
      <c r="I7" s="7" t="s">
        <v>39</v>
      </c>
    </row>
    <row r="8" ht="94.5" customHeight="1" spans="1:9">
      <c r="A8" s="8" t="s">
        <v>213</v>
      </c>
      <c r="B8" s="9" t="s">
        <v>214</v>
      </c>
      <c r="C8" s="12" t="s">
        <v>23</v>
      </c>
      <c r="D8" s="9" t="s">
        <v>111</v>
      </c>
      <c r="E8" s="9" t="s">
        <v>215</v>
      </c>
      <c r="F8" s="9" t="s">
        <v>216</v>
      </c>
      <c r="G8" s="9" t="s">
        <v>217</v>
      </c>
      <c r="H8" s="9" t="s">
        <v>214</v>
      </c>
      <c r="I8" s="13" t="s">
        <v>39</v>
      </c>
    </row>
    <row r="9" ht="94.5" customHeight="1" spans="1:9">
      <c r="A9" s="4" t="s">
        <v>218</v>
      </c>
      <c r="B9" s="5" t="s">
        <v>219</v>
      </c>
      <c r="C9" s="6" t="s">
        <v>23</v>
      </c>
      <c r="D9" s="5" t="s">
        <v>111</v>
      </c>
      <c r="E9" s="5" t="s">
        <v>220</v>
      </c>
      <c r="F9" s="5" t="s">
        <v>221</v>
      </c>
      <c r="G9" s="5" t="s">
        <v>222</v>
      </c>
      <c r="H9" s="5" t="s">
        <v>219</v>
      </c>
      <c r="I9" s="7" t="s">
        <v>39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pane ySplit="2" topLeftCell="A6" activePane="bottomLeft" state="frozen"/>
      <selection/>
      <selection pane="bottomLeft" activeCell="I7" sqref="I7:I8"/>
    </sheetView>
  </sheetViews>
  <sheetFormatPr defaultColWidth="7.89166666666667" defaultRowHeight="18" outlineLevelRow="7"/>
  <cols>
    <col min="1" max="1" width="14.5583333333333" style="1" customWidth="1"/>
    <col min="2" max="2" width="25.4666666666667" style="1" customWidth="1"/>
    <col min="3" max="3" width="7.29166666666667" style="1" customWidth="1"/>
    <col min="4" max="4" width="9.1" style="1" customWidth="1"/>
    <col min="5" max="5" width="27.3083333333333" style="1" customWidth="1"/>
    <col min="6" max="6" width="40.0333333333333" style="1" customWidth="1"/>
    <col min="7" max="7" width="41.85" style="1" customWidth="1"/>
    <col min="8" max="8" width="16.3916666666667" style="1" customWidth="1"/>
    <col min="9" max="9" width="9.1" style="1" customWidth="1"/>
  </cols>
  <sheetData>
    <row r="1" ht="21" customHeight="1" spans="1:9">
      <c r="A1" s="2" t="s">
        <v>223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3" t="s">
        <v>107</v>
      </c>
      <c r="I2" s="3" t="s">
        <v>108</v>
      </c>
    </row>
    <row r="3" ht="94.5" customHeight="1" spans="1:9">
      <c r="A3" s="4" t="s">
        <v>224</v>
      </c>
      <c r="B3" s="5" t="s">
        <v>225</v>
      </c>
      <c r="C3" s="6" t="s">
        <v>23</v>
      </c>
      <c r="D3" s="5" t="s">
        <v>111</v>
      </c>
      <c r="E3" s="5" t="s">
        <v>226</v>
      </c>
      <c r="F3" s="5" t="s">
        <v>227</v>
      </c>
      <c r="G3" s="5" t="s">
        <v>228</v>
      </c>
      <c r="H3" s="5" t="s">
        <v>229</v>
      </c>
      <c r="I3" s="7" t="s">
        <v>39</v>
      </c>
    </row>
    <row r="4" ht="94.5" customHeight="1" spans="1:9">
      <c r="A4" s="8" t="s">
        <v>230</v>
      </c>
      <c r="B4" s="9" t="s">
        <v>231</v>
      </c>
      <c r="C4" s="12" t="s">
        <v>23</v>
      </c>
      <c r="D4" s="9" t="s">
        <v>111</v>
      </c>
      <c r="E4" s="9" t="s">
        <v>226</v>
      </c>
      <c r="F4" s="9" t="s">
        <v>232</v>
      </c>
      <c r="G4" s="9" t="s">
        <v>233</v>
      </c>
      <c r="H4" s="9" t="s">
        <v>234</v>
      </c>
      <c r="I4" s="13" t="s">
        <v>39</v>
      </c>
    </row>
    <row r="5" ht="94.5" customHeight="1" spans="1:9">
      <c r="A5" s="4" t="s">
        <v>235</v>
      </c>
      <c r="B5" s="5" t="s">
        <v>236</v>
      </c>
      <c r="C5" s="15" t="s">
        <v>24</v>
      </c>
      <c r="D5" s="5" t="s">
        <v>111</v>
      </c>
      <c r="E5" s="5" t="s">
        <v>237</v>
      </c>
      <c r="F5" s="5" t="s">
        <v>238</v>
      </c>
      <c r="G5" s="5" t="s">
        <v>239</v>
      </c>
      <c r="H5" s="5" t="s">
        <v>240</v>
      </c>
      <c r="I5" s="7" t="s">
        <v>39</v>
      </c>
    </row>
    <row r="6" ht="94.5" customHeight="1" spans="1:9">
      <c r="A6" s="8" t="s">
        <v>241</v>
      </c>
      <c r="B6" s="9" t="s">
        <v>242</v>
      </c>
      <c r="C6" s="10" t="s">
        <v>24</v>
      </c>
      <c r="D6" s="9" t="s">
        <v>111</v>
      </c>
      <c r="E6" s="9" t="s">
        <v>243</v>
      </c>
      <c r="F6" s="9" t="s">
        <v>244</v>
      </c>
      <c r="G6" s="9" t="s">
        <v>245</v>
      </c>
      <c r="H6" s="9" t="s">
        <v>246</v>
      </c>
      <c r="I6" s="13" t="s">
        <v>39</v>
      </c>
    </row>
    <row r="7" ht="94.5" customHeight="1" spans="1:9">
      <c r="A7" s="4" t="s">
        <v>247</v>
      </c>
      <c r="B7" s="5" t="s">
        <v>248</v>
      </c>
      <c r="C7" s="15" t="s">
        <v>24</v>
      </c>
      <c r="D7" s="5" t="s">
        <v>111</v>
      </c>
      <c r="E7" s="5" t="s">
        <v>249</v>
      </c>
      <c r="F7" s="5" t="s">
        <v>250</v>
      </c>
      <c r="G7" s="5" t="s">
        <v>251</v>
      </c>
      <c r="H7" s="5" t="s">
        <v>252</v>
      </c>
      <c r="I7" s="7" t="s">
        <v>39</v>
      </c>
    </row>
    <row r="8" ht="94.5" customHeight="1" spans="1:9">
      <c r="A8" s="8" t="s">
        <v>253</v>
      </c>
      <c r="B8" s="9" t="s">
        <v>254</v>
      </c>
      <c r="C8" s="10" t="s">
        <v>24</v>
      </c>
      <c r="D8" s="9" t="s">
        <v>111</v>
      </c>
      <c r="E8" s="9" t="s">
        <v>255</v>
      </c>
      <c r="F8" s="9" t="s">
        <v>256</v>
      </c>
      <c r="G8" s="9" t="s">
        <v>257</v>
      </c>
      <c r="H8" s="9" t="s">
        <v>258</v>
      </c>
      <c r="I8" s="13" t="s">
        <v>39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2" topLeftCell="A6" activePane="bottomLeft" state="frozen"/>
      <selection/>
      <selection pane="bottomLeft" activeCell="I7" sqref="I7:I8"/>
    </sheetView>
  </sheetViews>
  <sheetFormatPr defaultColWidth="7.89166666666667" defaultRowHeight="18"/>
  <cols>
    <col min="1" max="1" width="14.5583333333333" style="1" customWidth="1"/>
    <col min="2" max="2" width="25.4666666666667" style="1" customWidth="1"/>
    <col min="3" max="3" width="7.29166666666667" style="1" customWidth="1"/>
    <col min="4" max="4" width="9.1" style="1" customWidth="1"/>
    <col min="5" max="5" width="27.3083333333333" style="1" customWidth="1"/>
    <col min="6" max="6" width="40.0333333333333" style="1" customWidth="1"/>
    <col min="7" max="7" width="41.85" style="1" customWidth="1"/>
    <col min="8" max="8" width="25.125" style="1" customWidth="1"/>
    <col min="9" max="9" width="9.1" style="1" customWidth="1"/>
  </cols>
  <sheetData>
    <row r="1" ht="21" customHeight="1" spans="1:9">
      <c r="A1" s="2" t="s">
        <v>259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3" t="s">
        <v>107</v>
      </c>
      <c r="I2" s="3" t="s">
        <v>108</v>
      </c>
    </row>
    <row r="3" ht="94.5" customHeight="1" spans="1:9">
      <c r="A3" s="4" t="s">
        <v>260</v>
      </c>
      <c r="B3" s="5" t="s">
        <v>261</v>
      </c>
      <c r="C3" s="6" t="s">
        <v>23</v>
      </c>
      <c r="D3" s="5" t="s">
        <v>111</v>
      </c>
      <c r="E3" s="5" t="s">
        <v>262</v>
      </c>
      <c r="F3" s="5" t="s">
        <v>263</v>
      </c>
      <c r="G3" s="5" t="s">
        <v>264</v>
      </c>
      <c r="H3" s="5" t="s">
        <v>265</v>
      </c>
      <c r="I3" s="7" t="s">
        <v>39</v>
      </c>
    </row>
    <row r="4" ht="94.5" customHeight="1" spans="1:9">
      <c r="A4" s="8" t="s">
        <v>266</v>
      </c>
      <c r="B4" s="9" t="s">
        <v>267</v>
      </c>
      <c r="C4" s="10" t="s">
        <v>24</v>
      </c>
      <c r="D4" s="9" t="s">
        <v>111</v>
      </c>
      <c r="E4" s="9" t="s">
        <v>268</v>
      </c>
      <c r="F4" s="9" t="s">
        <v>269</v>
      </c>
      <c r="G4" s="9" t="s">
        <v>270</v>
      </c>
      <c r="H4" s="9" t="s">
        <v>271</v>
      </c>
      <c r="I4" s="13" t="s">
        <v>39</v>
      </c>
    </row>
    <row r="5" ht="94.5" customHeight="1" spans="1:9">
      <c r="A5" s="4" t="s">
        <v>272</v>
      </c>
      <c r="B5" s="5" t="s">
        <v>273</v>
      </c>
      <c r="C5" s="15" t="s">
        <v>24</v>
      </c>
      <c r="D5" s="5" t="s">
        <v>111</v>
      </c>
      <c r="E5" s="5" t="s">
        <v>268</v>
      </c>
      <c r="F5" s="5" t="s">
        <v>274</v>
      </c>
      <c r="G5" s="5" t="s">
        <v>275</v>
      </c>
      <c r="H5" s="5" t="s">
        <v>276</v>
      </c>
      <c r="I5" s="7" t="s">
        <v>39</v>
      </c>
    </row>
    <row r="6" ht="94.5" customHeight="1" spans="1:9">
      <c r="A6" s="8" t="s">
        <v>277</v>
      </c>
      <c r="B6" s="9" t="s">
        <v>278</v>
      </c>
      <c r="C6" s="12" t="s">
        <v>23</v>
      </c>
      <c r="D6" s="9" t="s">
        <v>111</v>
      </c>
      <c r="E6" s="9" t="s">
        <v>279</v>
      </c>
      <c r="F6" s="9" t="s">
        <v>280</v>
      </c>
      <c r="G6" s="9" t="s">
        <v>281</v>
      </c>
      <c r="H6" s="9" t="s">
        <v>282</v>
      </c>
      <c r="I6" s="13" t="s">
        <v>39</v>
      </c>
    </row>
    <row r="7" ht="94.5" customHeight="1" spans="1:9">
      <c r="A7" s="4" t="s">
        <v>283</v>
      </c>
      <c r="B7" s="5" t="s">
        <v>284</v>
      </c>
      <c r="C7" s="6" t="s">
        <v>23</v>
      </c>
      <c r="D7" s="5" t="s">
        <v>111</v>
      </c>
      <c r="E7" s="5" t="s">
        <v>285</v>
      </c>
      <c r="F7" s="5" t="s">
        <v>286</v>
      </c>
      <c r="G7" s="5" t="s">
        <v>287</v>
      </c>
      <c r="H7" s="5" t="s">
        <v>287</v>
      </c>
      <c r="I7" s="7" t="s">
        <v>39</v>
      </c>
    </row>
    <row r="8" ht="94.5" customHeight="1" spans="1:9">
      <c r="A8" s="8" t="s">
        <v>288</v>
      </c>
      <c r="B8" s="9" t="s">
        <v>289</v>
      </c>
      <c r="C8" s="12" t="s">
        <v>23</v>
      </c>
      <c r="D8" s="9" t="s">
        <v>111</v>
      </c>
      <c r="E8" s="9" t="s">
        <v>290</v>
      </c>
      <c r="F8" s="9" t="s">
        <v>291</v>
      </c>
      <c r="G8" s="9" t="s">
        <v>292</v>
      </c>
      <c r="H8" s="9" t="s">
        <v>293</v>
      </c>
      <c r="I8" s="13" t="s">
        <v>39</v>
      </c>
    </row>
    <row r="9" ht="94.5" customHeight="1" spans="1:9">
      <c r="A9" s="4" t="s">
        <v>294</v>
      </c>
      <c r="B9" s="5" t="s">
        <v>295</v>
      </c>
      <c r="C9" s="6" t="s">
        <v>23</v>
      </c>
      <c r="D9" s="5" t="s">
        <v>111</v>
      </c>
      <c r="E9" s="5" t="s">
        <v>296</v>
      </c>
      <c r="F9" s="5" t="s">
        <v>297</v>
      </c>
      <c r="G9" s="5" t="s">
        <v>298</v>
      </c>
      <c r="H9" s="5" t="s">
        <v>298</v>
      </c>
      <c r="I9" s="7" t="s">
        <v>39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2" topLeftCell="A4" activePane="bottomLeft" state="frozen"/>
      <selection/>
      <selection pane="bottomLeft" activeCell="I5" sqref="I5:I6"/>
    </sheetView>
  </sheetViews>
  <sheetFormatPr defaultColWidth="7.89166666666667" defaultRowHeight="18"/>
  <cols>
    <col min="1" max="1" width="14.5583333333333" style="1" customWidth="1"/>
    <col min="2" max="2" width="25.4666666666667" style="1" customWidth="1"/>
    <col min="3" max="3" width="7.29166666666667" style="1" customWidth="1"/>
    <col min="4" max="4" width="9.1" style="1" customWidth="1"/>
    <col min="5" max="5" width="27.3083333333333" style="1" customWidth="1"/>
    <col min="6" max="6" width="40.0333333333333" style="1" customWidth="1"/>
    <col min="7" max="7" width="41.85" style="1" customWidth="1"/>
    <col min="8" max="8" width="31.625" style="1" customWidth="1"/>
    <col min="9" max="9" width="9.1" style="1" customWidth="1"/>
  </cols>
  <sheetData>
    <row r="1" ht="21" customHeight="1" spans="1:9">
      <c r="A1" s="2" t="s">
        <v>299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3" t="s">
        <v>107</v>
      </c>
      <c r="I2" s="3" t="s">
        <v>108</v>
      </c>
    </row>
    <row r="3" ht="94.5" customHeight="1" spans="1:9">
      <c r="A3" s="4" t="s">
        <v>300</v>
      </c>
      <c r="B3" s="5" t="s">
        <v>301</v>
      </c>
      <c r="C3" s="6" t="s">
        <v>23</v>
      </c>
      <c r="D3" s="5" t="s">
        <v>111</v>
      </c>
      <c r="E3" s="5" t="s">
        <v>302</v>
      </c>
      <c r="F3" s="5" t="s">
        <v>303</v>
      </c>
      <c r="G3" s="5" t="s">
        <v>304</v>
      </c>
      <c r="H3" s="5" t="s">
        <v>305</v>
      </c>
      <c r="I3" s="7" t="s">
        <v>39</v>
      </c>
    </row>
    <row r="4" ht="94.5" customHeight="1" spans="1:9">
      <c r="A4" s="8" t="s">
        <v>306</v>
      </c>
      <c r="B4" s="9" t="s">
        <v>307</v>
      </c>
      <c r="C4" s="10" t="s">
        <v>24</v>
      </c>
      <c r="D4" s="9" t="s">
        <v>111</v>
      </c>
      <c r="E4" s="9" t="s">
        <v>308</v>
      </c>
      <c r="F4" s="9" t="s">
        <v>309</v>
      </c>
      <c r="G4" s="9" t="s">
        <v>310</v>
      </c>
      <c r="H4" s="9" t="s">
        <v>311</v>
      </c>
      <c r="I4" s="11" t="s">
        <v>41</v>
      </c>
    </row>
    <row r="5" ht="94.5" customHeight="1" spans="1:9">
      <c r="A5" s="4" t="s">
        <v>312</v>
      </c>
      <c r="B5" s="5" t="s">
        <v>313</v>
      </c>
      <c r="C5" s="6" t="s">
        <v>23</v>
      </c>
      <c r="D5" s="5" t="s">
        <v>111</v>
      </c>
      <c r="E5" s="5" t="s">
        <v>314</v>
      </c>
      <c r="F5" s="5" t="s">
        <v>315</v>
      </c>
      <c r="G5" s="5" t="s">
        <v>316</v>
      </c>
      <c r="H5" s="5" t="s">
        <v>317</v>
      </c>
      <c r="I5" s="7" t="s">
        <v>39</v>
      </c>
    </row>
    <row r="6" ht="94.5" customHeight="1" spans="1:9">
      <c r="A6" s="8" t="s">
        <v>318</v>
      </c>
      <c r="B6" s="9" t="s">
        <v>319</v>
      </c>
      <c r="C6" s="12" t="s">
        <v>23</v>
      </c>
      <c r="D6" s="9" t="s">
        <v>111</v>
      </c>
      <c r="E6" s="9" t="s">
        <v>314</v>
      </c>
      <c r="F6" s="9" t="s">
        <v>320</v>
      </c>
      <c r="G6" s="9" t="s">
        <v>321</v>
      </c>
      <c r="H6" s="9" t="s">
        <v>321</v>
      </c>
      <c r="I6" s="13" t="s">
        <v>39</v>
      </c>
    </row>
    <row r="7" ht="94.5" customHeight="1" spans="1:9">
      <c r="A7" s="4" t="s">
        <v>322</v>
      </c>
      <c r="B7" s="5" t="s">
        <v>323</v>
      </c>
      <c r="C7" s="6" t="s">
        <v>23</v>
      </c>
      <c r="D7" s="5" t="s">
        <v>111</v>
      </c>
      <c r="E7" s="5" t="s">
        <v>324</v>
      </c>
      <c r="F7" s="5" t="s">
        <v>325</v>
      </c>
      <c r="G7" s="5" t="s">
        <v>326</v>
      </c>
      <c r="H7" s="5" t="s">
        <v>327</v>
      </c>
      <c r="I7" s="7" t="s">
        <v>39</v>
      </c>
    </row>
    <row r="8" ht="94.5" customHeight="1" spans="1:9">
      <c r="A8" s="8" t="s">
        <v>328</v>
      </c>
      <c r="B8" s="9" t="s">
        <v>329</v>
      </c>
      <c r="C8" s="12" t="s">
        <v>23</v>
      </c>
      <c r="D8" s="9" t="s">
        <v>111</v>
      </c>
      <c r="E8" s="9" t="s">
        <v>330</v>
      </c>
      <c r="F8" s="9" t="s">
        <v>331</v>
      </c>
      <c r="G8" s="9" t="s">
        <v>332</v>
      </c>
      <c r="H8" s="9" t="s">
        <v>332</v>
      </c>
      <c r="I8" s="13" t="s">
        <v>39</v>
      </c>
    </row>
    <row r="9" ht="94.5" customHeight="1" spans="1:9">
      <c r="A9" s="4" t="s">
        <v>333</v>
      </c>
      <c r="B9" s="5" t="s">
        <v>334</v>
      </c>
      <c r="C9" s="14" t="s">
        <v>25</v>
      </c>
      <c r="D9" s="5" t="s">
        <v>111</v>
      </c>
      <c r="E9" s="5" t="s">
        <v>335</v>
      </c>
      <c r="F9" s="5" t="s">
        <v>336</v>
      </c>
      <c r="G9" s="5" t="s">
        <v>337</v>
      </c>
      <c r="H9" s="5" t="s">
        <v>337</v>
      </c>
      <c r="I9" s="7" t="s">
        <v>39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LibreOffice/26.2.2.2$Windows_X86_64 LibreOffice_project/1f77d10d6938fd34972958f64b2bcfa54f8b1ba5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用例统计</vt:lpstr>
      <vt:lpstr>缺失分析与优化记录</vt:lpstr>
      <vt:lpstr>前台-诚心售Tab入口与图标展示</vt:lpstr>
      <vt:lpstr>前台-诚心售订单列表与状态筛选</vt:lpstr>
      <vt:lpstr>前台-诚心售订单操作与状态流转</vt:lpstr>
      <vt:lpstr>前台-服务列表隔离与跨Tab一致性</vt:lpstr>
      <vt:lpstr>后台-诚心售订单管理</vt:lpstr>
      <vt:lpstr>后台-资金状态与履约奖励配置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初尘</cp:lastModifiedBy>
  <cp:revision>0</cp:revision>
  <dcterms:created xsi:type="dcterms:W3CDTF">2026-07-20T05:30:00Z</dcterms:created>
  <dcterms:modified xsi:type="dcterms:W3CDTF">2026-07-24T12:08:20Z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FCF5F359CE6B4BD1B2F601EE32CB7076_13</vt:lpwstr>
  </property>
  <property fmtid="{D5CDD505-2E9C-101B-9397-08002B2CF9AE}" pid="4" name="KSOProductBuildVer">
    <vt:lpwstr>2052-12.1.0.26895</vt:lpwstr>
  </property>
</Properties>
</file>