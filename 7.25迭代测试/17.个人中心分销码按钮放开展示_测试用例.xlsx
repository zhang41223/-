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用例统计" sheetId="1" r:id="rId1"/>
    <sheet name="缺失分析与优化记录" sheetId="2" r:id="rId2"/>
    <sheet name="分销码按钮测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<sst xmlns="http://schemas.openxmlformats.org/spreadsheetml/2006/main" count="235" uniqueCount="162">
  <si>
    <t>个人中心分销码按钮放开展示 - 测试用例统计</t>
  </si>
  <si>
    <t>优先级定义标准:</t>
  </si>
  <si>
    <t>P1(阻断级)</t>
  </si>
  <si>
    <t>核心功能不可用/跳转失败/数据丢失。发版前必须100%通过</t>
  </si>
  <si>
    <t>P2(核心功能)</t>
  </si>
  <si>
    <t>主要功能正确性问题，有临时绕过方案。发版前必须通过</t>
  </si>
  <si>
    <t>P3(重要功能)</t>
  </si>
  <si>
    <t>非核心功能异常或边界处理不当。发版前应通过</t>
  </si>
  <si>
    <t>P4(一般功能)</t>
  </si>
  <si>
    <t>UI展示问题/文案错误/非关键交互异常。发版后修复</t>
  </si>
  <si>
    <t>P5(优化建议)</t>
  </si>
  <si>
    <t>性能优化/样式微调/兼容性/无障碍。迭代优化</t>
  </si>
  <si>
    <t>优化说明:</t>
  </si>
  <si>
    <t>• 仅针对个人中心【分销码】按钮放开展示进行测试，不扩展到分销功能其他模块</t>
  </si>
  <si>
    <t>• 覆盖6个维度: 按钮展示验证/跳转验证/邀请码模块/邀请用户模块/燃爆一夏模块/交互异常</t>
  </si>
  <si>
    <t>• 跳转页面含3个Tab: 邀请码(4%返佣/8%返现)、邀请用户(统计+列表)、燃爆一夏(10%返佣/20%返现)</t>
  </si>
  <si>
    <t>• 统计页使用Excel公式动态计算，避免手写聚合数值</t>
  </si>
  <si>
    <t>• 4条缺失分析全部已确认(对所有登录用户开放/跳转3模块/按钮无变化/位置确认)</t>
  </si>
  <si>
    <t>模块</t>
  </si>
  <si>
    <t>用例数</t>
  </si>
  <si>
    <t>P1</t>
  </si>
  <si>
    <t>P2</t>
  </si>
  <si>
    <t>P3</t>
  </si>
  <si>
    <t>P4</t>
  </si>
  <si>
    <t>P5</t>
  </si>
  <si>
    <t>分销码按钮测试</t>
  </si>
  <si>
    <t>合计</t>
  </si>
  <si>
    <t>个人中心分销码按钮放开展示 - 缺失分析与优化记录</t>
  </si>
  <si>
    <t>编号</t>
  </si>
  <si>
    <t>缺失/优化项</t>
  </si>
  <si>
    <t>原因分析</t>
  </si>
  <si>
    <t>处理措施</t>
  </si>
  <si>
    <t>严重度</t>
  </si>
  <si>
    <t>状态</t>
  </si>
  <si>
    <t>用户确认说明</t>
  </si>
  <si>
    <t>G001</t>
  </si>
  <si>
    <t>分销码按钮放开范围未明确</t>
  </si>
  <si>
    <t>需求未说明按钮是对所有用户放开，还是仅对特定角色放开</t>
  </si>
  <si>
    <t>已确认: 对所有登录用户显示开放</t>
  </si>
  <si>
    <t>高</t>
  </si>
  <si>
    <t>已确认</t>
  </si>
  <si>
    <t>1.对所有登录用户显示开放</t>
  </si>
  <si>
    <t>G002</t>
  </si>
  <si>
    <t>分销码按钮跳转目标未明确</t>
  </si>
  <si>
    <t>点击按钮跳转到哪个页面、页面包含哪些模块未明确</t>
  </si>
  <si>
    <t>已确认: 跳转显示页面，含邀请码、邀请用户、活动(燃爆一夏)三个Tab模块</t>
  </si>
  <si>
    <t>2.跳转显示页面，邀请码、邀请用户、活动(燃爆一夏)三个模块</t>
  </si>
  <si>
    <t>G003</t>
  </si>
  <si>
    <t>按钮放开后样式是否变化未明确</t>
  </si>
  <si>
    <t>按钮放开展示后，按钮本身样式、位置、文案是否调整未明确</t>
  </si>
  <si>
    <t>已确认: 前台按钮无变化，仅放开展示</t>
  </si>
  <si>
    <t>中</t>
  </si>
  <si>
    <t>3.前台按钮无变化</t>
  </si>
  <si>
    <t>G004</t>
  </si>
  <si>
    <t>按钮位置与样式参考</t>
  </si>
  <si>
    <t>需要确认按钮在个人中心的具体位置和样式</t>
  </si>
  <si>
    <t>已确认: 按钮位于个人中心右上角，橙红色胶囊形带礼物图标</t>
  </si>
  <si>
    <t>低</t>
  </si>
  <si>
    <t>4.按钮位于个人中心右上角，橙红色胶囊样式</t>
  </si>
  <si>
    <t>个人中心分销码按钮放开展示 - 分销码按钮测试</t>
  </si>
  <si>
    <t>用例编号</t>
  </si>
  <si>
    <t>测试项</t>
  </si>
  <si>
    <t>优先级</t>
  </si>
  <si>
    <t>归属版本</t>
  </si>
  <si>
    <t>前置条件</t>
  </si>
  <si>
    <t>输入/执行步骤</t>
  </si>
  <si>
    <t>预计结果</t>
  </si>
  <si>
    <t>实际结果</t>
  </si>
  <si>
    <t>是否通过</t>
  </si>
  <si>
    <t>TC-DC-001</t>
  </si>
  <si>
    <t>分销码按钮对所有登录用户放开展示</t>
  </si>
  <si>
    <t>V1.0</t>
  </si>
  <si>
    <t>准备普通用户、分销用户、新注册用户账号各一个，均已登录</t>
  </si>
  <si>
    <t>1. 普通用户登录进入个人中心
2. 查看右上角是否展示【分销码】按钮
3. 分销用户登录进入个人中心查看按钮
4. 新注册用户(首次登录)进入个人中心查看按钮
5. 对比三个账号按钮展示位置和样式</t>
  </si>
  <si>
    <t>所有登录用户均可在个人中心右上角看到【分销码】按钮；按钮样式为橙红色胶囊形带礼物图标，文案为邀请码/邀请有礼；不同角色用户看到的按钮位置、样式、文案完全一致</t>
  </si>
  <si>
    <t>展示正确</t>
  </si>
  <si>
    <t>PASS</t>
  </si>
  <si>
    <t>TC-DC-002</t>
  </si>
  <si>
    <t>未登录用户按钮可见性</t>
  </si>
  <si>
    <t>用户未登录，可访问个人中心入口</t>
  </si>
  <si>
    <t>1. 退出登录状态
2. 进入个人中心页面
3. 查看右上角是否有【分销码】按钮
4. 若可见，点击按钮观察跳转行为</t>
  </si>
  <si>
    <t>未登录用户不展示【分销码】按钮(仅对登录用户开放)；或按钮可见但点击后跳转登录页；登录成功后返回个人中心并展示按钮</t>
  </si>
  <si>
    <t>未登录用户不展示</t>
  </si>
  <si>
    <t>TC-DC-003</t>
  </si>
  <si>
    <t>按钮样式与位置一致性验证</t>
  </si>
  <si>
    <t>用户已登录，进入个人中心页面，准备截图对比放开前后</t>
  </si>
  <si>
    <t>1. 截图放开前个人中心页面(若有旧版本)
2. 截图放开后个人中心页面
3. 对比按钮位置(右上角设置图标下方)
4. 对比按钮样式(橙红色胶囊+礼物图标)
5. 对比按钮文案
6. 确认按钮无变化(仅放开展示)</t>
  </si>
  <si>
    <t>放开前后按钮本身样式无变化(橙红色胶囊形、礼物图标、白色文案)；放开前按钮仅部分用户可见或隐藏，放开后所有登录用户可见；按钮位置仍在个人中心右上角设置图标下方</t>
  </si>
  <si>
    <t>点击后跳转，按钮本身无变化</t>
  </si>
  <si>
    <t>TC-DC-004</t>
  </si>
  <si>
    <t>点击按钮跳转到邀请码页面</t>
  </si>
  <si>
    <t>用户已登录，个人中心展示【分销码】按钮</t>
  </si>
  <si>
    <t>1. 点击个人中心右上角【分销码】按钮
2. 观察页面跳转
3. 确认跳转目标页面
4. 查看页面顶部Tab导航
5. 确认默认展示的Tab</t>
  </si>
  <si>
    <t>点击按钮跳转到邀请码页面；页面顶部有3个Tab: 邀请码/邀请用户/燃爆一夏（活动）；默认选中【邀请码】Tab(橙色下划线高亮)；页面正常加载无报错</t>
  </si>
  <si>
    <t>TC-DC-005</t>
  </si>
  <si>
    <t>Tab切换-邀请用户模块</t>
  </si>
  <si>
    <t>用户已跳转到邀请码页面，停留在【邀请码】Tab</t>
  </si>
  <si>
    <t>1. 点击顶部【邀请用户】Tab
2. 观察页面内容切换
3. 确认Tab高亮状态切换
4. 查看邀请用户页面内容
5. 切换回【邀请码】Tab</t>
  </si>
  <si>
    <t>点击【邀请用户】Tab后页面内容切换；Tab高亮状态正确切换(橙色下划线移动)；邀请用户页面展示累计绑定人数、累计总收益、搜索框、用户列表；切回邀请码Tab内容正确显示</t>
  </si>
  <si>
    <t>TC-DC-006</t>
  </si>
  <si>
    <t>Tab切换-燃爆一夏活动模块</t>
  </si>
  <si>
    <t>1. 点击顶部【燃爆一夏】Tab
2. 观察页面内容切换
3. 确认Tab高亮状态切换
4. 查看活动页面内容
5. 确认活动规则与邀请码规则差异</t>
  </si>
  <si>
    <t>点击【燃爆一夏】Tab后页面内容切换；Tab高亮状态正确切换；活动页面展示【限时活动】标签、邀请规则与专属奖励、邀请码和链接复制功能；活动返佣比例(10%双向返佣/20%最高返现)与邀请码Tab(4%返佣/8%返现)不同</t>
  </si>
  <si>
    <t>TC-DC-007</t>
  </si>
  <si>
    <t>跳转后返回个人中心</t>
  </si>
  <si>
    <t>用户已从个人中心点击【分销码】跳转到邀请码页面</t>
  </si>
  <si>
    <t>1. 在邀请码页面点击左上角返回箭头
2. 观察是否返回个人中心
3. 确认返回后页面状态
4. 检查是否保留原滚动位置</t>
  </si>
  <si>
    <t>点击返回箭头回到个人中心页面；页面状态保留(滚动位置、数据)；不出现页面重载或数据丢失；返回路径正确</t>
  </si>
  <si>
    <t>TC-DC-008</t>
  </si>
  <si>
    <t>邀请码展示与复制</t>
  </si>
  <si>
    <t>1. 查看邀请码区域展示
2. 确认邀请码格式(如PM3TTTSZ，8位字母数字)
3. 点击【复制】按钮
4. 粘贴验证复制内容
5. 确认复制成功提示</t>
  </si>
  <si>
    <t>邀请码正确展示(8位大写字母+数字组合)；点击复制后剪贴板内容为邀请码；显示复制成功Toast提示；粘贴内容与页面展示一致</t>
  </si>
  <si>
    <t>TC-DC-009</t>
  </si>
  <si>
    <t>邀请链接展示与复制</t>
  </si>
  <si>
    <t>1. 查看邀请链接区域展示
2. 确认链接格式(含invCode参数)
3. 点击【复制邀请链接】按钮
4. 粘贴验证复制内容
5. 确认链接中邀请码与展示一致</t>
  </si>
  <si>
    <t>邀请链接正确展示(https://域名/pages/login/login?invCode=邀请码)；点击复制后剪贴板内容为完整链接；显示复制成功Toast提示；链接中invCode参数与页面邀请码一致</t>
  </si>
  <si>
    <t>TC-DC-010</t>
  </si>
  <si>
    <t>邀请规则与专属奖励展示</t>
  </si>
  <si>
    <t>1. 查看邀请规则与专属奖励模块
2. 确认4条规则完整展示(注册绑定/分成收益/提现/声明)
3. 查看收益数据卡片(交易最高返现8%/分享券)
4. 点击帮助图标查看说明</t>
  </si>
  <si>
    <t>邀请规则模块展示4条编号规则；规则内容包含邀请注册、4%返佣、满2元提现、最终解释权声明；收益数据卡片展示交易最高返现8%和分享券金额；帮助图标可点击查看说明</t>
  </si>
  <si>
    <t>TC-DC-011</t>
  </si>
  <si>
    <t>累计数据统计展示</t>
  </si>
  <si>
    <t>用户已跳转到邀请码页面，切换到【邀请用户】Tab</t>
  </si>
  <si>
    <t>1. 查看顶部统计卡片
2. 确认累计绑定人数展示
3. 确认累计获得总收益展示
4. 对照数据库验证数据准确性
5. 点击帮助图标查看说明</t>
  </si>
  <si>
    <t>统计卡片展示累计绑定人数和累计获得总收益；数据与后端统计一致；金额格式正确(¥XX.XX)；</t>
  </si>
  <si>
    <t>TC-DC-012</t>
  </si>
  <si>
    <t>用户列表展示与搜索</t>
  </si>
  <si>
    <t>用户已切换到【邀请用户】Tab，有已邀请用户数据</t>
  </si>
  <si>
    <t>1. 查看用户列表展示
2. 确认列表项字段(用户ID/昵称/绑定时间/总收益)
3. 在搜索框输入用户ID搜索
4. 在搜索框输入昵称关键词搜索
5. 清空搜索框查看全部列表</t>
  </si>
  <si>
    <t>用户列表展示已邀请用户卡片；每条包含用户ID、昵称、绑定时间、总收益；按用户ID搜索可精准匹配；按昵称关键词搜索可模糊匹配；清空搜索框恢复全部列表</t>
  </si>
  <si>
    <t>TC-DC-013</t>
  </si>
  <si>
    <t>空数据状态展示</t>
  </si>
  <si>
    <t>新用户未邀请任何人，切换到【邀请用户】Tab</t>
  </si>
  <si>
    <t>1. 查看累计数据(应为0人/¥0.00)
2. 查看用户列表区域
3. 确认空状态文案
4. 确认是否有引导操作</t>
  </si>
  <si>
    <t>累计绑定人数显示0人，累计总收益显示¥0.00；用户列表区域展示空状态文案(暂无邀请记录)；不出现空白页或报错；可能有引导去邀请的入口</t>
  </si>
  <si>
    <t>TC-DC-014</t>
  </si>
  <si>
    <t>活动规则与返佣比例验证</t>
  </si>
  <si>
    <t>用户已切换到【燃爆一夏】Tab</t>
  </si>
  <si>
    <t>1. 查看活动规则模块
2. 确认【限时活动】标签展示
3. 确认4条规则内容
4. 对比活动返佣比例(10%双向/20%返现)与邀请码Tab(4%返佣/8%返现)
5. 查看收益数据卡片</t>
  </si>
  <si>
    <t>活动页面展示【限时活动】标签；4条规则完整展示；活动返佣比例为推荐出号者10%返佣+推荐租号者10%返佣(区别于邀请码Tab的4%)；最高返现20%(区别于邀请码Tab的8%)；收益数据卡片展示正确</t>
  </si>
  <si>
    <t>TC-DC-015</t>
  </si>
  <si>
    <t>活动邀请码与链接复制</t>
  </si>
  <si>
    <t>1. 查看邀请码是否与邀请码Tab一致
2. 点击复制邀请码
3. 查看邀请链接
4. 点击复制邀请链接
5. 验证链接中invCode参数</t>
  </si>
  <si>
    <t>活动页邀请码与邀请码Tab展示一致(同一用户邀请码)；复制功能正常；邀请链接格式正确且invCode参数一致；复制成功有Toast提示</t>
  </si>
  <si>
    <t>展示正确，邀请码一致</t>
  </si>
  <si>
    <t>TC-DC-016</t>
  </si>
  <si>
    <t>按钮连续点击防抖</t>
  </si>
  <si>
    <t>用户已登录，在个人中心页面</t>
  </si>
  <si>
    <t>1. 快速连续点击【分销码】按钮3-5次
2. 观察跳转和页面响应
3. 检查是否产生多次跳转或重复请求</t>
  </si>
  <si>
    <t>按钮有防抖机制，连续点击只触发一次跳转；不产生多次页面跳转或重复请求；无异常报错或页面闪烁</t>
  </si>
  <si>
    <t>只会跳转一次，无异常闪烁</t>
  </si>
  <si>
    <t>TC-DC-017</t>
  </si>
  <si>
    <t>网络异常按钮响应</t>
  </si>
  <si>
    <t>用户已登录，可模拟网络异常</t>
  </si>
  <si>
    <t>1. 模拟弱网或断网
2. 点击【分销码】按钮
3. 观察按钮和页面响应
4. 恢复网络后重试</t>
  </si>
  <si>
    <t>网络异常时按钮点击有友好提示(网络超时/请重试)；不出现白屏或崩溃；恢复网络后可正常跳转；不产生重复请求</t>
  </si>
  <si>
    <t>可正常跳转，但会提示页面列表无法获取/活动列表无法获取</t>
  </si>
  <si>
    <t>TC-DC-018</t>
  </si>
  <si>
    <t>不同分辨率按钮展示</t>
  </si>
  <si>
    <t>具备不同分辨率设备测试条件</t>
  </si>
  <si>
    <t>1. 在低分辨率(375px)查看按钮
2. 在高分辨率(1920px)查看按钮
3. 在横屏模式查看按钮
4. 确认按钮自适应</t>
  </si>
  <si>
    <t>不同分辨率下按钮位置、大小、文案自适应；不出现按钮变形、文案截断、重叠；横屏模式按钮展示正常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</si>
</sst>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Noto Sans SC"/>
      <charset val="134"/>
    </font>
    <font>
      <b/>
      <sz val="14"/>
      <color rgb="FF1F2937"/>
      <name val="微软雅黑"/>
      <charset val="1"/>
    </font>
    <font>
      <b/>
      <sz val="11"/>
      <color rgb="FFFFFFFF"/>
      <name val="微软雅黑"/>
      <charset val="1"/>
    </font>
    <font>
      <b/>
      <sz val="10"/>
      <color rgb="FF1F2937"/>
      <name val="微软雅黑"/>
      <charset val="1"/>
    </font>
    <font>
      <sz val="10"/>
      <name val="微软雅黑"/>
      <charset val="1"/>
    </font>
    <font>
      <b/>
      <sz val="10"/>
      <color rgb="FFDC2626"/>
      <name val="微软雅黑"/>
      <charset val="1"/>
    </font>
    <font>
      <b/>
      <sz val="10"/>
      <color rgb="FF00B050"/>
      <name val="微软雅黑"/>
      <charset val="1"/>
    </font>
    <font>
      <b/>
      <sz val="10"/>
      <color rgb="FFEA580C"/>
      <name val="微软雅黑"/>
      <charset val="1"/>
    </font>
    <font>
      <sz val="10"/>
      <color rgb="FF2563EB"/>
      <name val="微软雅黑"/>
      <charset val="1"/>
    </font>
    <font>
      <sz val="10"/>
      <color rgb="FF6B7280"/>
      <name val="微软雅黑"/>
      <charset val="1"/>
    </font>
    <font>
      <b/>
      <sz val="10"/>
      <color rgb="FF2563EB"/>
      <name val="微软雅黑"/>
      <charset val="1"/>
    </font>
    <font>
      <b/>
      <sz val="11"/>
      <color rgb="FF1F2937"/>
      <name val="微软雅黑"/>
      <charset val="1"/>
    </font>
    <font>
      <sz val="10"/>
      <color rgb="FF9CA3AF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2563EB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2" fillId="0" borderId="1" xfId="0" applyFont="1" applyBorder="1"/>
    <xf numFmtId="0" fontId="4" fillId="0" borderId="0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EAF2FF"/>
      <rgbColor rgb="00660066"/>
      <rgbColor rgb="00FF8080"/>
      <rgbColor rgb="004472C4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63EB"/>
      <rgbColor rgb="0033CCCC"/>
      <rgbColor rgb="0099CC00"/>
      <rgbColor rgb="00FFCC00"/>
      <rgbColor rgb="00FF9900"/>
      <rgbColor rgb="00EA580C"/>
      <rgbColor rgb="006B7280"/>
      <rgbColor rgb="009CA3AF"/>
      <rgbColor rgb="00003366"/>
      <rgbColor rgb="00339966"/>
      <rgbColor rgb="00003300"/>
      <rgbColor rgb="00333300"/>
      <rgbColor rgb="00993300"/>
      <rgbColor rgb="00993366"/>
      <rgbColor rgb="00333399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A1" sqref="A1:G1"/>
    </sheetView>
  </sheetViews>
  <sheetFormatPr defaultColWidth="7.89166666666667" defaultRowHeight="18" outlineLevelCol="6"/>
  <cols>
    <col min="1" max="1" width="21.8416666666667" customWidth="1"/>
    <col min="2" max="7" width="7.28333333333333" customWidth="1"/>
  </cols>
  <sheetData>
    <row r="1" ht="21" spans="1:7">
      <c r="A1" s="1" t="s">
        <v>0</v>
      </c>
      <c r="B1" s="1"/>
      <c r="C1" s="1"/>
      <c r="D1" s="1"/>
      <c r="E1" s="1"/>
      <c r="F1" s="1"/>
      <c r="G1" s="1"/>
    </row>
    <row r="3" spans="1:7">
      <c r="A3" s="18" t="s">
        <v>1</v>
      </c>
    </row>
    <row r="4" ht="26.85" customHeight="1" spans="1:7">
      <c r="A4" s="19" t="s">
        <v>2</v>
      </c>
      <c r="B4" s="20" t="s">
        <v>3</v>
      </c>
      <c r="C4" s="20"/>
      <c r="D4" s="20"/>
      <c r="E4" s="20"/>
      <c r="F4" s="20"/>
      <c r="G4" s="20"/>
    </row>
    <row r="5" ht="15" customHeight="1" spans="1:7">
      <c r="A5" s="21" t="s">
        <v>4</v>
      </c>
      <c r="B5" s="20" t="s">
        <v>5</v>
      </c>
      <c r="C5" s="20"/>
      <c r="D5" s="20"/>
      <c r="E5" s="20"/>
      <c r="F5" s="20"/>
      <c r="G5" s="20"/>
    </row>
    <row r="6" ht="15" customHeight="1" spans="1:7">
      <c r="A6" s="22" t="s">
        <v>6</v>
      </c>
      <c r="B6" s="20" t="s">
        <v>7</v>
      </c>
      <c r="C6" s="20"/>
      <c r="D6" s="20"/>
      <c r="E6" s="20"/>
      <c r="F6" s="20"/>
      <c r="G6" s="20"/>
    </row>
    <row r="7" ht="15" customHeight="1" spans="1:7">
      <c r="A7" s="23" t="s">
        <v>8</v>
      </c>
      <c r="B7" s="20" t="s">
        <v>9</v>
      </c>
      <c r="C7" s="20"/>
      <c r="D7" s="20"/>
      <c r="E7" s="20"/>
      <c r="F7" s="20"/>
      <c r="G7" s="20"/>
    </row>
    <row r="8" ht="15" customHeight="1" spans="1:7">
      <c r="A8" s="24" t="s">
        <v>10</v>
      </c>
      <c r="B8" s="20" t="s">
        <v>11</v>
      </c>
      <c r="C8" s="20"/>
      <c r="D8" s="20"/>
      <c r="E8" s="20"/>
      <c r="F8" s="20"/>
      <c r="G8" s="20"/>
    </row>
    <row r="10" spans="1:7">
      <c r="A10" s="18" t="s">
        <v>12</v>
      </c>
    </row>
    <row r="11" spans="1:7">
      <c r="A11" s="25" t="s">
        <v>13</v>
      </c>
      <c r="B11" s="25"/>
      <c r="C11" s="25"/>
      <c r="D11" s="25"/>
      <c r="E11" s="25"/>
      <c r="F11" s="25"/>
      <c r="G11" s="25"/>
    </row>
    <row r="12" spans="1:7">
      <c r="A12" s="25" t="s">
        <v>14</v>
      </c>
      <c r="B12" s="25"/>
      <c r="C12" s="25"/>
      <c r="D12" s="25"/>
      <c r="E12" s="25"/>
      <c r="F12" s="25"/>
      <c r="G12" s="25"/>
    </row>
    <row r="13" spans="1:7">
      <c r="A13" s="25" t="s">
        <v>15</v>
      </c>
      <c r="B13" s="25"/>
      <c r="C13" s="25"/>
      <c r="D13" s="25"/>
      <c r="E13" s="25"/>
      <c r="F13" s="25"/>
      <c r="G13" s="25"/>
    </row>
    <row r="14" spans="1:7">
      <c r="A14" s="25" t="s">
        <v>16</v>
      </c>
      <c r="B14" s="25"/>
      <c r="C14" s="25"/>
      <c r="D14" s="25"/>
      <c r="E14" s="25"/>
      <c r="F14" s="25"/>
      <c r="G14" s="25"/>
    </row>
    <row r="15" spans="1:7">
      <c r="A15" s="25" t="s">
        <v>17</v>
      </c>
      <c r="B15" s="25"/>
      <c r="C15" s="25"/>
      <c r="D15" s="25"/>
      <c r="E15" s="25"/>
      <c r="F15" s="25"/>
      <c r="G15" s="25"/>
    </row>
    <row r="17" spans="1:7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</row>
    <row r="18" spans="1:7">
      <c r="A18" s="4" t="s">
        <v>25</v>
      </c>
      <c r="B18" s="26">
        <f>COUNTA(分销码按钮测试!A3:A200)</f>
        <v>18</v>
      </c>
      <c r="C18" s="26">
        <f>COUNTIF(分销码按钮测试!C3:C200,"P1")</f>
        <v>2</v>
      </c>
      <c r="D18" s="26">
        <f>COUNTIF(分销码按钮测试!C3:C200,"P2")</f>
        <v>10</v>
      </c>
      <c r="E18" s="26">
        <f>COUNTIF(分销码按钮测试!C3:C200,"P3")</f>
        <v>5</v>
      </c>
      <c r="F18" s="26">
        <f>COUNTIF(分销码按钮测试!C3:C200,"P4")</f>
        <v>1</v>
      </c>
      <c r="G18" s="26">
        <f>COUNTIF(分销码按钮测试!C3:C200,"P5")</f>
        <v>0</v>
      </c>
    </row>
    <row r="19" spans="1:7">
      <c r="A19" s="27" t="s">
        <v>26</v>
      </c>
      <c r="B19" s="27">
        <f t="shared" ref="B19:G19" si="0">SUM(B18)</f>
        <v>18</v>
      </c>
      <c r="C19" s="27">
        <f t="shared" si="0"/>
        <v>2</v>
      </c>
      <c r="D19" s="27">
        <f t="shared" si="0"/>
        <v>10</v>
      </c>
      <c r="E19" s="27">
        <f t="shared" si="0"/>
        <v>5</v>
      </c>
      <c r="F19" s="27">
        <f t="shared" si="0"/>
        <v>1</v>
      </c>
      <c r="G19" s="27">
        <f t="shared" si="0"/>
        <v>0</v>
      </c>
    </row>
    <row r="21" spans="1:7">
      <c r="A21" s="28" t="str">
        <f>CONCATENATE("P1占比: ",C19,"/",B19," = ",TEXT(C19/B19*100,"0.0"),"%  (",IF(C19/B19*100&lt;=15,"✓符合≤15%","✗超出15%"),")")</f>
        <v>P1占比: 2/18 = 11.1%  (✓符合≤15%)</v>
      </c>
      <c r="B21" s="28"/>
      <c r="C21" s="28"/>
      <c r="D21" s="28"/>
      <c r="E21" s="28"/>
      <c r="F21" s="28"/>
      <c r="G21" s="28"/>
    </row>
  </sheetData>
  <mergeCells count="12">
    <mergeCell ref="A1:G1"/>
    <mergeCell ref="B4:G4"/>
    <mergeCell ref="B5:G5"/>
    <mergeCell ref="B6:G6"/>
    <mergeCell ref="B7:G7"/>
    <mergeCell ref="B8:G8"/>
    <mergeCell ref="A11:G11"/>
    <mergeCell ref="A12:G12"/>
    <mergeCell ref="A13:G13"/>
    <mergeCell ref="A14:G14"/>
    <mergeCell ref="A15:G15"/>
    <mergeCell ref="A21:G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1"/>
    </sheetView>
  </sheetViews>
  <sheetFormatPr defaultColWidth="7.89166666666667" defaultRowHeight="18" outlineLevelRow="6" outlineLevelCol="6"/>
  <cols>
    <col min="1" max="1" width="7.28333333333333" customWidth="1"/>
    <col min="2" max="2" width="21.8416666666667" customWidth="1"/>
    <col min="3" max="4" width="32.7583333333333" customWidth="1"/>
    <col min="5" max="5" width="7.28333333333333" customWidth="1"/>
    <col min="6" max="6" width="9.1" customWidth="1"/>
    <col min="7" max="7" width="32.7583333333333" customWidth="1"/>
  </cols>
  <sheetData>
    <row r="1" ht="21" spans="1:7">
      <c r="A1" s="1" t="s">
        <v>27</v>
      </c>
      <c r="B1" s="1"/>
      <c r="C1" s="1"/>
      <c r="D1" s="1"/>
      <c r="E1" s="1"/>
      <c r="F1" s="1"/>
      <c r="G1" s="1"/>
    </row>
    <row r="3" spans="1:7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 ht="54.75" customHeight="1" spans="1:7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16" t="s">
        <v>40</v>
      </c>
      <c r="G4" s="4" t="s">
        <v>41</v>
      </c>
    </row>
    <row r="5" ht="54.75" customHeight="1" spans="1:7">
      <c r="A5" s="8" t="s">
        <v>42</v>
      </c>
      <c r="B5" s="8" t="s">
        <v>43</v>
      </c>
      <c r="C5" s="8" t="s">
        <v>44</v>
      </c>
      <c r="D5" s="8" t="s">
        <v>45</v>
      </c>
      <c r="E5" s="8" t="s">
        <v>39</v>
      </c>
      <c r="F5" s="17" t="s">
        <v>40</v>
      </c>
      <c r="G5" s="8" t="s">
        <v>46</v>
      </c>
    </row>
    <row r="6" ht="54.75" customHeight="1" spans="1:7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16" t="s">
        <v>40</v>
      </c>
      <c r="G6" s="4" t="s">
        <v>52</v>
      </c>
    </row>
    <row r="7" ht="54.75" customHeight="1" spans="1:7">
      <c r="A7" s="8" t="s">
        <v>53</v>
      </c>
      <c r="B7" s="8" t="s">
        <v>54</v>
      </c>
      <c r="C7" s="8" t="s">
        <v>55</v>
      </c>
      <c r="D7" s="8" t="s">
        <v>56</v>
      </c>
      <c r="E7" s="8" t="s">
        <v>57</v>
      </c>
      <c r="F7" s="17" t="s">
        <v>40</v>
      </c>
      <c r="G7" s="8" t="s">
        <v>58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2" topLeftCell="A16" activePane="bottomLeft" state="frozen"/>
      <selection/>
      <selection pane="bottomLeft" activeCell="I3" sqref="I3:I20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21" spans="1:9">
      <c r="A1" s="1" t="s">
        <v>59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</row>
    <row r="3" ht="94.5" customHeight="1" spans="1:9">
      <c r="A3" s="3" t="s">
        <v>69</v>
      </c>
      <c r="B3" s="4" t="s">
        <v>70</v>
      </c>
      <c r="C3" s="5" t="s">
        <v>20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6" t="s">
        <v>76</v>
      </c>
    </row>
    <row r="4" ht="94.5" customHeight="1" spans="1:9">
      <c r="A4" s="7" t="s">
        <v>77</v>
      </c>
      <c r="B4" s="8" t="s">
        <v>78</v>
      </c>
      <c r="C4" s="9" t="s">
        <v>21</v>
      </c>
      <c r="D4" s="8" t="s">
        <v>71</v>
      </c>
      <c r="E4" s="8" t="s">
        <v>79</v>
      </c>
      <c r="F4" s="8" t="s">
        <v>80</v>
      </c>
      <c r="G4" s="8" t="s">
        <v>81</v>
      </c>
      <c r="H4" s="8" t="s">
        <v>82</v>
      </c>
      <c r="I4" s="10" t="s">
        <v>76</v>
      </c>
    </row>
    <row r="5" ht="94.5" customHeight="1" spans="1:9">
      <c r="A5" s="3" t="s">
        <v>83</v>
      </c>
      <c r="B5" s="4" t="s">
        <v>84</v>
      </c>
      <c r="C5" s="11" t="s">
        <v>21</v>
      </c>
      <c r="D5" s="4" t="s">
        <v>71</v>
      </c>
      <c r="E5" s="4" t="s">
        <v>85</v>
      </c>
      <c r="F5" s="4" t="s">
        <v>86</v>
      </c>
      <c r="G5" s="4" t="s">
        <v>87</v>
      </c>
      <c r="H5" s="4" t="s">
        <v>88</v>
      </c>
      <c r="I5" s="6" t="s">
        <v>76</v>
      </c>
    </row>
    <row r="6" ht="94.5" customHeight="1" spans="1:9">
      <c r="A6" s="7" t="s">
        <v>89</v>
      </c>
      <c r="B6" s="8" t="s">
        <v>90</v>
      </c>
      <c r="C6" s="12" t="s">
        <v>20</v>
      </c>
      <c r="D6" s="8" t="s">
        <v>71</v>
      </c>
      <c r="E6" s="8" t="s">
        <v>91</v>
      </c>
      <c r="F6" s="8" t="s">
        <v>92</v>
      </c>
      <c r="G6" s="8" t="s">
        <v>93</v>
      </c>
      <c r="H6" s="8" t="s">
        <v>75</v>
      </c>
      <c r="I6" s="10" t="s">
        <v>76</v>
      </c>
    </row>
    <row r="7" ht="94.5" customHeight="1" spans="1:9">
      <c r="A7" s="3" t="s">
        <v>94</v>
      </c>
      <c r="B7" s="4" t="s">
        <v>95</v>
      </c>
      <c r="C7" s="11" t="s">
        <v>21</v>
      </c>
      <c r="D7" s="4" t="s">
        <v>71</v>
      </c>
      <c r="E7" s="4" t="s">
        <v>96</v>
      </c>
      <c r="F7" s="4" t="s">
        <v>97</v>
      </c>
      <c r="G7" s="4" t="s">
        <v>98</v>
      </c>
      <c r="H7" s="4" t="s">
        <v>75</v>
      </c>
      <c r="I7" s="6" t="s">
        <v>76</v>
      </c>
    </row>
    <row r="8" ht="94.5" customHeight="1" spans="1:9">
      <c r="A8" s="7" t="s">
        <v>99</v>
      </c>
      <c r="B8" s="8" t="s">
        <v>100</v>
      </c>
      <c r="C8" s="9" t="s">
        <v>21</v>
      </c>
      <c r="D8" s="8" t="s">
        <v>71</v>
      </c>
      <c r="E8" s="8" t="s">
        <v>96</v>
      </c>
      <c r="F8" s="8" t="s">
        <v>101</v>
      </c>
      <c r="G8" s="8" t="s">
        <v>102</v>
      </c>
      <c r="H8" s="8" t="s">
        <v>75</v>
      </c>
      <c r="I8" s="10" t="s">
        <v>76</v>
      </c>
    </row>
    <row r="9" ht="94.5" customHeight="1" spans="1:9">
      <c r="A9" s="3" t="s">
        <v>103</v>
      </c>
      <c r="B9" s="4" t="s">
        <v>104</v>
      </c>
      <c r="C9" s="11" t="s">
        <v>21</v>
      </c>
      <c r="D9" s="4" t="s">
        <v>71</v>
      </c>
      <c r="E9" s="4" t="s">
        <v>105</v>
      </c>
      <c r="F9" s="4" t="s">
        <v>106</v>
      </c>
      <c r="G9" s="4" t="s">
        <v>107</v>
      </c>
      <c r="H9" s="4" t="s">
        <v>75</v>
      </c>
      <c r="I9" s="6" t="s">
        <v>76</v>
      </c>
    </row>
    <row r="10" ht="94.5" customHeight="1" spans="1:9">
      <c r="A10" s="7" t="s">
        <v>108</v>
      </c>
      <c r="B10" s="8" t="s">
        <v>109</v>
      </c>
      <c r="C10" s="9" t="s">
        <v>21</v>
      </c>
      <c r="D10" s="8" t="s">
        <v>71</v>
      </c>
      <c r="E10" s="8" t="s">
        <v>96</v>
      </c>
      <c r="F10" s="8" t="s">
        <v>110</v>
      </c>
      <c r="G10" s="8" t="s">
        <v>111</v>
      </c>
      <c r="H10" s="8" t="s">
        <v>75</v>
      </c>
      <c r="I10" s="10" t="s">
        <v>76</v>
      </c>
    </row>
    <row r="11" ht="94.5" customHeight="1" spans="1:9">
      <c r="A11" s="3" t="s">
        <v>112</v>
      </c>
      <c r="B11" s="4" t="s">
        <v>113</v>
      </c>
      <c r="C11" s="11" t="s">
        <v>21</v>
      </c>
      <c r="D11" s="4" t="s">
        <v>71</v>
      </c>
      <c r="E11" s="4" t="s">
        <v>96</v>
      </c>
      <c r="F11" s="4" t="s">
        <v>114</v>
      </c>
      <c r="G11" s="4" t="s">
        <v>115</v>
      </c>
      <c r="H11" s="4" t="s">
        <v>75</v>
      </c>
      <c r="I11" s="6" t="s">
        <v>76</v>
      </c>
    </row>
    <row r="12" ht="94.5" customHeight="1" spans="1:9">
      <c r="A12" s="7" t="s">
        <v>116</v>
      </c>
      <c r="B12" s="8" t="s">
        <v>117</v>
      </c>
      <c r="C12" s="13" t="s">
        <v>22</v>
      </c>
      <c r="D12" s="8" t="s">
        <v>71</v>
      </c>
      <c r="E12" s="8" t="s">
        <v>96</v>
      </c>
      <c r="F12" s="8" t="s">
        <v>118</v>
      </c>
      <c r="G12" s="8" t="s">
        <v>119</v>
      </c>
      <c r="H12" s="8" t="s">
        <v>75</v>
      </c>
      <c r="I12" s="10" t="s">
        <v>76</v>
      </c>
    </row>
    <row r="13" ht="94.5" customHeight="1" spans="1:9">
      <c r="A13" s="3" t="s">
        <v>120</v>
      </c>
      <c r="B13" s="4" t="s">
        <v>121</v>
      </c>
      <c r="C13" s="11" t="s">
        <v>21</v>
      </c>
      <c r="D13" s="4" t="s">
        <v>71</v>
      </c>
      <c r="E13" s="4" t="s">
        <v>122</v>
      </c>
      <c r="F13" s="4" t="s">
        <v>123</v>
      </c>
      <c r="G13" s="4" t="s">
        <v>124</v>
      </c>
      <c r="H13" s="4" t="s">
        <v>75</v>
      </c>
      <c r="I13" s="6" t="s">
        <v>76</v>
      </c>
    </row>
    <row r="14" ht="94.5" customHeight="1" spans="1:9">
      <c r="A14" s="7" t="s">
        <v>125</v>
      </c>
      <c r="B14" s="8" t="s">
        <v>126</v>
      </c>
      <c r="C14" s="13" t="s">
        <v>22</v>
      </c>
      <c r="D14" s="8" t="s">
        <v>71</v>
      </c>
      <c r="E14" s="8" t="s">
        <v>127</v>
      </c>
      <c r="F14" s="8" t="s">
        <v>128</v>
      </c>
      <c r="G14" s="8" t="s">
        <v>129</v>
      </c>
      <c r="H14" s="8" t="s">
        <v>75</v>
      </c>
      <c r="I14" s="10" t="s">
        <v>76</v>
      </c>
    </row>
    <row r="15" ht="94.5" customHeight="1" spans="1:9">
      <c r="A15" s="3" t="s">
        <v>130</v>
      </c>
      <c r="B15" s="4" t="s">
        <v>131</v>
      </c>
      <c r="C15" s="14" t="s">
        <v>22</v>
      </c>
      <c r="D15" s="4" t="s">
        <v>71</v>
      </c>
      <c r="E15" s="4" t="s">
        <v>132</v>
      </c>
      <c r="F15" s="4" t="s">
        <v>133</v>
      </c>
      <c r="G15" s="4" t="s">
        <v>134</v>
      </c>
      <c r="H15" s="4" t="s">
        <v>75</v>
      </c>
      <c r="I15" s="6" t="s">
        <v>76</v>
      </c>
    </row>
    <row r="16" ht="94.5" customHeight="1" spans="1:9">
      <c r="A16" s="7" t="s">
        <v>135</v>
      </c>
      <c r="B16" s="8" t="s">
        <v>136</v>
      </c>
      <c r="C16" s="9" t="s">
        <v>21</v>
      </c>
      <c r="D16" s="8" t="s">
        <v>71</v>
      </c>
      <c r="E16" s="8" t="s">
        <v>137</v>
      </c>
      <c r="F16" s="8" t="s">
        <v>138</v>
      </c>
      <c r="G16" s="8" t="s">
        <v>139</v>
      </c>
      <c r="H16" s="8" t="s">
        <v>75</v>
      </c>
      <c r="I16" s="10" t="s">
        <v>76</v>
      </c>
    </row>
    <row r="17" ht="94.5" customHeight="1" spans="1:9">
      <c r="A17" s="3" t="s">
        <v>140</v>
      </c>
      <c r="B17" s="4" t="s">
        <v>141</v>
      </c>
      <c r="C17" s="14" t="s">
        <v>22</v>
      </c>
      <c r="D17" s="4" t="s">
        <v>71</v>
      </c>
      <c r="E17" s="4" t="s">
        <v>137</v>
      </c>
      <c r="F17" s="4" t="s">
        <v>142</v>
      </c>
      <c r="G17" s="4" t="s">
        <v>143</v>
      </c>
      <c r="H17" s="4" t="s">
        <v>144</v>
      </c>
      <c r="I17" s="6" t="s">
        <v>76</v>
      </c>
    </row>
    <row r="18" ht="94.5" customHeight="1" spans="1:9">
      <c r="A18" s="7" t="s">
        <v>145</v>
      </c>
      <c r="B18" s="8" t="s">
        <v>146</v>
      </c>
      <c r="C18" s="13" t="s">
        <v>22</v>
      </c>
      <c r="D18" s="8" t="s">
        <v>71</v>
      </c>
      <c r="E18" s="8" t="s">
        <v>147</v>
      </c>
      <c r="F18" s="8" t="s">
        <v>148</v>
      </c>
      <c r="G18" s="8" t="s">
        <v>149</v>
      </c>
      <c r="H18" s="8" t="s">
        <v>150</v>
      </c>
      <c r="I18" s="10" t="s">
        <v>76</v>
      </c>
    </row>
    <row r="19" ht="94.5" customHeight="1" spans="1:9">
      <c r="A19" s="3" t="s">
        <v>151</v>
      </c>
      <c r="B19" s="4" t="s">
        <v>152</v>
      </c>
      <c r="C19" s="11" t="s">
        <v>21</v>
      </c>
      <c r="D19" s="4" t="s">
        <v>71</v>
      </c>
      <c r="E19" s="4" t="s">
        <v>153</v>
      </c>
      <c r="F19" s="4" t="s">
        <v>154</v>
      </c>
      <c r="G19" s="4" t="s">
        <v>155</v>
      </c>
      <c r="H19" s="4" t="s">
        <v>156</v>
      </c>
      <c r="I19" s="6" t="s">
        <v>76</v>
      </c>
    </row>
    <row r="20" ht="94.5" customHeight="1" spans="1:9">
      <c r="A20" s="7" t="s">
        <v>157</v>
      </c>
      <c r="B20" s="8" t="s">
        <v>158</v>
      </c>
      <c r="C20" s="15" t="s">
        <v>23</v>
      </c>
      <c r="D20" s="8" t="s">
        <v>71</v>
      </c>
      <c r="E20" s="8" t="s">
        <v>159</v>
      </c>
      <c r="F20" s="8" t="s">
        <v>160</v>
      </c>
      <c r="G20" s="8" t="s">
        <v>161</v>
      </c>
      <c r="H20" s="8" t="s">
        <v>75</v>
      </c>
      <c r="I20" s="10" t="s">
        <v>76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用例统计</vt:lpstr>
      <vt:lpstr>缺失分析与优化记录</vt:lpstr>
      <vt:lpstr>分销码按钮测试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cp:revision>0</cp:revision>
  <dcterms:created xsi:type="dcterms:W3CDTF">2026-07-20T07:34:00Z</dcterms:created>
  <dcterms:modified xsi:type="dcterms:W3CDTF">2026-07-24T12:14:33Z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A6D00D32BA264670B1CB15ECA3075576_12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