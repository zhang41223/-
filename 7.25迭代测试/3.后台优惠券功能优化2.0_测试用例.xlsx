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firstSheet="1" activeTab="7"/>
  </bookViews>
  <sheets>
    <sheet name="用例统计" sheetId="1" r:id="rId1"/>
    <sheet name="优惠券列表与筛选" sheetId="2" r:id="rId2"/>
    <sheet name="新建与编辑优惠券" sheetId="3" r:id="rId3"/>
    <sheet name="状态流转与操作" sheetId="4" r:id="rId4"/>
    <sheet name="异常场景与边界测试" sheetId="5" r:id="rId5"/>
    <sheet name="H5端前端可见性" sheetId="6" r:id="rId6"/>
    <sheet name="叠加计算" sheetId="7" r:id="rId7"/>
    <sheet name="退款回退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<sst xmlns="http://schemas.openxmlformats.org/spreadsheetml/2006/main" count="1041" uniqueCount="617">
  <si>
    <t>后台优惠券功能优化 - 测试用例统计 (V3.0 前端业务补充版)</t>
  </si>
  <si>
    <t>优先级定义标准:</t>
  </si>
  <si>
    <t>P0(阻断级)</t>
  </si>
  <si>
    <t>核心主流程不可用/资金安全风险/数据丢失。发版前必须100%通过</t>
  </si>
  <si>
    <t>P1(核心功能)</t>
  </si>
  <si>
    <t>主要功能正确性问题，有临时绕过方案。发版前必须通过</t>
  </si>
  <si>
    <t>P2(重要功能)</t>
  </si>
  <si>
    <t>非核心功能异常或边界处理不当。发版前应通过</t>
  </si>
  <si>
    <t>P3(一般功能)</t>
  </si>
  <si>
    <t>UI展示问题/文案错误/非关键交互异常。发版后修复</t>
  </si>
  <si>
    <t>P4(优化建议)</t>
  </si>
  <si>
    <t>性能优化/样式微调/兼容性/无障碍。迭代优化</t>
  </si>
  <si>
    <t>优化说明:</t>
  </si>
  <si>
    <t>• V3.0补充3个前端业务方向用例: H5端前端可见性(10条)、叠加计算(10条)、退款回退(8条)</t>
  </si>
  <si>
    <t>• 覆盖前端业务正确性: 不同等级/业务类型的展示逻辑、会员折扣+优惠券+租金补贴组合拳、退款后券返还</t>
  </si>
  <si>
    <t>• 统计页使用Excel公式按各用例Sheet动态计算</t>
  </si>
  <si>
    <t>• 原有失败用例和疑问用例记录保留在统计页下方</t>
  </si>
  <si>
    <t>模块</t>
  </si>
  <si>
    <t>用例数</t>
  </si>
  <si>
    <t>P0</t>
  </si>
  <si>
    <t>P1</t>
  </si>
  <si>
    <t>P2</t>
  </si>
  <si>
    <t>P3</t>
  </si>
  <si>
    <t>P4</t>
  </si>
  <si>
    <t>优惠券列表与筛选</t>
  </si>
  <si>
    <t>新建与编辑优惠券</t>
  </si>
  <si>
    <t>状态流转与操作</t>
  </si>
  <si>
    <t>异常场景与边界测试</t>
  </si>
  <si>
    <t>H5端前端可见性</t>
  </si>
  <si>
    <t>叠加计算</t>
  </si>
  <si>
    <t>退款回退</t>
  </si>
  <si>
    <t>合计</t>
  </si>
  <si>
    <t>P1占比:</t>
  </si>
  <si>
    <t>失败用例汇总 (FAIL) — 共6条</t>
  </si>
  <si>
    <t>用例编号</t>
  </si>
  <si>
    <t>所属模块</t>
  </si>
  <si>
    <t>优先级</t>
  </si>
  <si>
    <t>测试项</t>
  </si>
  <si>
    <t>实际结果(失败原因)</t>
  </si>
  <si>
    <t>CPN-ERR-008</t>
  </si>
  <si>
    <t>边界-每天100张上限</t>
  </si>
  <si>
    <t>未对优惠劵进行编号处理，以优惠劵名称来确认</t>
  </si>
  <si>
    <t>CPN-CREATE-023</t>
  </si>
  <si>
    <t>新建-折扣券抵扣计算验证</t>
  </si>
  <si>
    <t>前端无显示优惠劵使用</t>
  </si>
  <si>
    <t>CPN-ERR-006</t>
  </si>
  <si>
    <t>SQL注入-搜索框</t>
  </si>
  <si>
    <t>未完成搜索页面的功能搭建</t>
  </si>
  <si>
    <t>CPN-LIST-004</t>
  </si>
  <si>
    <t>搜索-券名称模糊搜索</t>
  </si>
  <si>
    <t>搜索功能未完善</t>
  </si>
  <si>
    <t>CPN-LIST-008</t>
  </si>
  <si>
    <t>列表-优惠券编号展示</t>
  </si>
  <si>
    <t>无</t>
  </si>
  <si>
    <t>CPN-CREATE-025</t>
  </si>
  <si>
    <t>新建-业务类型6种选择</t>
  </si>
  <si>
    <t>前后端优惠劵限制显示异常，业务类型前后端不对应</t>
  </si>
  <si>
    <t>疑问用例汇总 (TWD) — 共4条</t>
  </si>
  <si>
    <t>实际结果(疑问说明)</t>
  </si>
  <si>
    <t>CPN-LIST-003</t>
  </si>
  <si>
    <t>列表-操作按钮状态控制</t>
  </si>
  <si>
    <t>1.只有详情，无法开启和删除
2.进行中会显示正常
3.正常</t>
  </si>
  <si>
    <t>CPN-CREATE-018</t>
  </si>
  <si>
    <t>新建-优惠券编号生成规则</t>
  </si>
  <si>
    <t>1.无编号</t>
  </si>
  <si>
    <t>CPN-CREATE-011</t>
  </si>
  <si>
    <t>新建-固定时间日期校验</t>
  </si>
  <si>
    <t>未有过期时间校验</t>
  </si>
  <si>
    <t>CPN-LIST-012</t>
  </si>
  <si>
    <t>列表-批量导出功能</t>
  </si>
  <si>
    <t>暂未支持导出</t>
  </si>
  <si>
    <t>用例失败数=6</t>
  </si>
  <si>
    <t>疑问用例数=4</t>
  </si>
  <si>
    <t>已解决</t>
  </si>
  <si>
    <t>后台优惠券功能优化 - 优惠券列表与筛选</t>
  </si>
  <si>
    <t>归属版本</t>
  </si>
  <si>
    <t>前置条件</t>
  </si>
  <si>
    <t>输入/执行步骤</t>
  </si>
  <si>
    <t>预计结果</t>
  </si>
  <si>
    <t>实际结果</t>
  </si>
  <si>
    <t>是否通过</t>
  </si>
  <si>
    <t>CPN-LIST-001</t>
  </si>
  <si>
    <t>列表页-默认加载展示</t>
  </si>
  <si>
    <t>V2.0</t>
  </si>
  <si>
    <t>1. 后台已登录
2. 已有10条以上优惠券数据</t>
  </si>
  <si>
    <t>1. 进入优惠券管理页面
2. 观察列表默认展示</t>
  </si>
  <si>
    <t>1. 页面加载时间&lt;=2秒(2000ms)
2. 列表默认按创建时间倒序排列
3. 表头列: 券名称/类型/面额/业务类型/领取方式/状态/有效期/操作
4. 每页默认展示10条，分页组件在列表底部</t>
  </si>
  <si>
    <t>展示正常</t>
  </si>
  <si>
    <t>PASS</t>
  </si>
  <si>
    <t>CPN-LIST-002</t>
  </si>
  <si>
    <t>列表-状态标签颜色</t>
  </si>
  <si>
    <t>1. 存在3种状态的优惠券</t>
  </si>
  <si>
    <t>1. 观察列表中各状态的标签样式
2. 对比设计稿</t>
  </si>
  <si>
    <t>1. '进行中': 背景#D1FAE5，文字#065F46，字号12px
2. '已结束': 背景#E5E7EB，文字#4B5563，字号12px
3. '关闭': 背景#FEE2E2，文字#991B1B，字号12px
4. 标签border-radius:4px，内边距2px 8px</t>
  </si>
  <si>
    <t>1. 有3种状态的优惠券各1条</t>
  </si>
  <si>
    <t>1. 观察'关闭'状态券的操作列
2. 观察'进行中'状态券的操作列
3. 观察'已结束'状态券的操作列</t>
  </si>
  <si>
    <t>1. 关闭状态: 显示'编辑/删除/开启'3个按钮
2. 进行中状态: 仅显示'详情/关闭'2个按钮
3. 已结束状态: 仅显示'详情'1个按钮
4. 按钮不可操作时置灰，opacity:0.5
5. 后端接口同步校验，前端绕过时返回403</t>
  </si>
  <si>
    <t>TWD</t>
  </si>
  <si>
    <t>1. 列表中有'新人首租立减5元'和'满50减10'优惠券</t>
  </si>
  <si>
    <t>1. 在搜索框输入'新人'
2. 点击搜索
3. 清空搜索框，点击搜索</t>
  </si>
  <si>
    <t>1. 输入'新人'后列表仅显示'新人首租立减5元'
2. 搜索响应时间&lt;=500ms
3. 清空搜索显示全部优惠券
4. 搜索框placeholder:'请输入券名称'，颜色#9CA3AF</t>
  </si>
  <si>
    <t>FAIL</t>
  </si>
  <si>
    <t>CPN-LIST-005</t>
  </si>
  <si>
    <t>筛选-状态下拉筛选</t>
  </si>
  <si>
    <t>1. 列表中有多种状态优惠券</t>
  </si>
  <si>
    <t>1. 点击状态下拉框
2. 选择'进行中'
3. 点击查询
4. 切换为'已结束'查询</t>
  </si>
  <si>
    <t>1. 下拉选项: 全部/进行中/已结束/关闭
2. 选择'进行中'后列表仅显示进行中的券
3. 筛选结果更新时间&lt;=300ms
4. 下拉框宽度180px，选项高度36px</t>
  </si>
  <si>
    <t>CPN-LIST-006</t>
  </si>
  <si>
    <t>筛选-时间范围筛选</t>
  </si>
  <si>
    <t>1. 列表中有不同时间创建的优惠券</t>
  </si>
  <si>
    <t>1. 选择开始日期为2026-07-01
2. 选择结束日期为2026-07-17
3. 点击查询
4. 开始日期大于结束日期时查询</t>
  </si>
  <si>
    <t>1. 仅显示创建时间在2026-07-01至2026-07-17之间的券
2. 日期选择器格式YYYY-MM-DD
3. 开始&gt;结束时提示'开始时间不能大于结束时间'，提示颜色#EF4444
4. 不触发接口请求</t>
  </si>
  <si>
    <t>CPN-LIST-007</t>
  </si>
  <si>
    <t>分页-翻页功能</t>
  </si>
  <si>
    <t>1. 系统中有25条优惠券数据</t>
  </si>
  <si>
    <t>1. 观察分页组件
2. 点击第2页
3. 点击'每页20条'
4. 点击末页</t>
  </si>
  <si>
    <t>1. 默认每页10条，显示'共25条'
2. 点击第2页后列表更新为第11-20条
3. 切换为20条/页后变为2页
4. 翻页响应时间&lt;=500ms
5. 分页组件高度32px，按钮间距4px</t>
  </si>
  <si>
    <t>功能和响应速度正常</t>
  </si>
  <si>
    <t>1. 已有优惠券数据</t>
  </si>
  <si>
    <t>1. 观察列表中编号列的展示
2. 检查编号格式和长度</t>
  </si>
  <si>
    <t>1. 编号格式: CP+YYMMDD+2位父序号+7位子序号，定长17位
2. 示例: CP260717010000001
3. 编号列宽度180px，字号12px，font-family:Consolas等宽字体
4. 编号不可编辑，颜色#6B7280</t>
  </si>
  <si>
    <t>CPN-LIST-009</t>
  </si>
  <si>
    <t>列表-空数据状态</t>
  </si>
  <si>
    <t>1. 系统中无任何优惠券</t>
  </si>
  <si>
    <t>1. 进入优惠券管理页面
2. 观察空状态展示</t>
  </si>
  <si>
    <t>1. 列表区域显示空状态图标(优惠券图标，颜色#D1D5DB)
2. 提示文字'暂无优惠券数据'，颜色#6B7280，字号14px
3. 有'新建优惠券'按钮，颜色#3B82F6
4. 不显示空白表格</t>
  </si>
  <si>
    <t>CPN-LIST-010</t>
  </si>
  <si>
    <t>列表-数据量大加载</t>
  </si>
  <si>
    <t>1. 系统中有1000条优惠券</t>
  </si>
  <si>
    <t>1. 进入优惠券管理页面
2. 记录首屏加载时间
3. 滚动分页</t>
  </si>
  <si>
    <t>1. 首屏加载时间&lt;=2秒(2000ms)，采用分页加载
2. 列表渲染帧率&gt;=50fps
3. 翻页无卡顿
4. 内存占用增长&lt;=20%</t>
  </si>
  <si>
    <t>CPN-LIST-011</t>
  </si>
  <si>
    <t>列表-列排序功能</t>
  </si>
  <si>
    <t>1. 列表中有多条优惠券
2. 面额各不相同</t>
  </si>
  <si>
    <t>1. 点击表头'面额'列
2. 观察排序方向(升序/降序)
3. 再次点击切换排序
4. 点击'创建时间'列排序</t>
  </si>
  <si>
    <t>1. 第一次点击面额列按升序排列，箭头朝上
2. 再次点击切换为降序，箭头朝下
3. 排序后列表数据顺序正确更新
4. 排序响应时间&lt;=500ms
5. 可排序的列头有hover效果，cursor:pointer</t>
  </si>
  <si>
    <t>功能正常，有校验机制</t>
  </si>
  <si>
    <t>1. 列表中有优惠券数据</t>
  </si>
  <si>
    <t>1. 查找导出入口
2. 点击'导出'按钮
3. 观察导出文件格式和内容</t>
  </si>
  <si>
    <t>1. 导出为Excel/CSV格式
2. 导出文件包含: 编号/名称/类型/面额/业务类型/状态/有效期
3. 导出数据与当前筛选条件一致
4. 导出时间&lt;=5秒(5000ms)(1000条以内)
5. 文件名含日期: 优惠券列表_YYYYMMDD.xlsx</t>
  </si>
  <si>
    <t>CPN-LIST-013</t>
  </si>
  <si>
    <t>列表-包含内容列展示</t>
  </si>
  <si>
    <t>1. 列表有多条不同业务类型的优惠券</t>
  </si>
  <si>
    <t>1. 进入优惠券列表页
2. 查看'包含内容'列是否存在
3. 检查不同业务类型券的包含内容展示
4. 对比'业务类型'列与'包含内容'列
5. 检查增值服务券的包含内容是否显示包赔类型</t>
  </si>
  <si>
    <t>1. '包含内容'列存在于列表中，列宽≥100px
2. 业务类型='全部'→包含内容='全平台'
3. 业务类型='出售账号'→包含内容='出售账号'
4. 业务类型='购买账号'→包含内容='购买账号'
5. 业务类型='增值服务'→包含内容显示具体包赔内容(如'人脸包赔'/'200元档位')
6. 包含内容与业务类型数据一致，无错位</t>
  </si>
  <si>
    <t>CPN-LIST-014</t>
  </si>
  <si>
    <t>列表-面额/折扣列动态展示</t>
  </si>
  <si>
    <t>1. 列表有面额券和折扣券</t>
  </si>
  <si>
    <t>1. 查看面额券的'面额/折扣'列
2. 查看折扣券的'面额/折扣'列
3. 查看折扣券+封顶金额的展示</t>
  </si>
  <si>
    <t>1. 面额券: 显示'50元'(面额+单位)
2. 折扣券: 显示'8.5折'(折扣+单位)
3. 折扣券+封顶: 显示'8.5折最高减50元'
4. 列宽自适应，不截断
5. 根据券类型动态展示不同格式</t>
  </si>
  <si>
    <t>展示正常，功能正常</t>
  </si>
  <si>
    <t>CPN-LIST-015</t>
  </si>
  <si>
    <t>列表-领取方式列展示</t>
  </si>
  <si>
    <t>1. 列表有可手动领取和不可手动领取的券</t>
  </si>
  <si>
    <t>1. 进入优惠券列表页
2. 查看'领取方式'列
3. 检查可手动领取券的展示
4. 检查不可手动领取券的展示
5. 对比创建时设置的领取方式与列表展示</t>
  </si>
  <si>
    <t>1. '领取方式'列存在于列表中
2. 可手动领取: 显示'可手动领取'(绿色文字或标签)
3. 不可手动领取: 显示'不可手动领取'或'系统发放'(灰色文字)
4. 列表数据与创建时设置一致
5. 筛选条件含'领取方式'下拉，支持按领取方式筛选</t>
  </si>
  <si>
    <t>创建数据和创建设置保持一致</t>
  </si>
  <si>
    <t>CPN-LIST-016</t>
  </si>
  <si>
    <t>列表-有效期列展示</t>
  </si>
  <si>
    <t>1. 列表有长期有效和固定时间的券</t>
  </si>
  <si>
    <t>1. 进入优惠券列表页
2. 查看长期有效券的有效期列展示
3. 查看固定时间段券的有效期列展示
4. 查看领取之日起券的有效期列展示
5. 检查已过期券的有效期展示
6. 验证时间格式一致性</t>
  </si>
  <si>
    <t>1. 长期有效: 显示'长期有效'(绿色文字)
2. 固定时间: 显示结束时间'2024-07-20 18:12:50'
3. 领取之日起: 显示'领取之日起X天有效'
4. 已过期券: 有效期文字灰色或红色标识
5. 时间格式统一YYYY-MM-DD HH:MM:SS
6. 与创建时设置的有效期类型一致</t>
  </si>
  <si>
    <t>时间格式显示正常</t>
  </si>
  <si>
    <t>CPN-LIST-017</t>
  </si>
  <si>
    <t>筛选-业务类型筛选</t>
  </si>
  <si>
    <t>1. 列表有6种业务类型的优惠券</t>
  </si>
  <si>
    <t>1. 业务类型下拉选择'增值服务'
2. 点击查询
3. 查看筛选结果
4. 切换为'全部'
5. 切换为'出售账号'</t>
  </si>
  <si>
    <t>1. 下拉选项: 全部/出售账号/购买账号/出租账号/租到账号/增值服务
2. 选择'增值服务': 仅显示增值服务类型的券
3. 选择'全部': 显示所有业务类型的券
4. 选择'出售账号': 仅显示出售账号类型的券
5. 筛选结果准确无遗漏</t>
  </si>
  <si>
    <t>筛选功能显示正常，无遗漏</t>
  </si>
  <si>
    <t>CPN-LIST-018</t>
  </si>
  <si>
    <t>筛选-多条件组合查询</t>
  </si>
  <si>
    <t>1. 列表有多种类型和状态的优惠券</t>
  </si>
  <si>
    <t>1. 名称输入'新人'
2. 类型选择'面额券'
3. 业务类型选择'全部'
4. 领取方式选择'可手动领取'
5. 状态选择'进行中'
6. 点击查询
7. 点击重置</t>
  </si>
  <si>
    <t>1. 组合查询: 仅显示名称含'新人'+面额券+可手动领取+进行中的券
2. 查询结果准确，满足全部条件
3. 重置后所有筛选条件清空
4. 重置后列表恢复全部数据
5. 查询响应时间&lt;=500ms</t>
  </si>
  <si>
    <t>筛选功能显示正常，无遗漏，响应良好</t>
  </si>
  <si>
    <t>CPN-LIST-019</t>
  </si>
  <si>
    <t>列表-操作按钮按状态显示</t>
  </si>
  <si>
    <t>1. 列表有进行中/已结束/关闭状态的券</t>
  </si>
  <si>
    <t>1. 查看进行中状态券的操作列按钮
2. 查看已结束状态券的操作列按钮
3. 查看关闭状态券的操作列按钮
4. 点击各状态下的按钮验证可用性
5. 检查按钮是否符合状态机逻辑</t>
  </si>
  <si>
    <t>1. 进行中: 显示'编辑'/'关闭'/'详情'(无删除，进行中不可删除)
2. 已结束: 仅显示'详情'(无编辑/删除/关闭，已结束不可操作)
3. 关闭状态: 显示'编辑'/'删除'/'开启'/'详情'
4. 按钮按状态动态显示，符合状态机逻辑
5. 截图4确认: 已结束券操作列仅有'详情'
6. 各按钮点击行为与对应功能一致</t>
  </si>
  <si>
    <t>后台优惠券功能优化 - 新建与编辑优惠券</t>
  </si>
  <si>
    <t>CPN-CREATE-001</t>
  </si>
  <si>
    <t>新建-打开创建弹窗</t>
  </si>
  <si>
    <t>1. 已进入优惠券管理页面</t>
  </si>
  <si>
    <t>1. 点击'新建优惠券'按钮
2. 观察弹窗展示</t>
  </si>
  <si>
    <t>1. 弹窗在300ms内展示，有fade-in动画(时长300ms)
2. 弹窗宽度600px，标题'新建优惠券'，字号16px，font-weight:700
3. 有遮罩层，背景rgba(0,0,0,0.5)
4. 右上角有关闭按钮(X)，尺寸24x24px</t>
  </si>
  <si>
    <t>CPN-CREATE-002</t>
  </si>
  <si>
    <t>新建-必填字段校验</t>
  </si>
  <si>
    <t>1. 新建优惠券弹窗已打开</t>
  </si>
  <si>
    <t>1. 不填写任何字段
2. 直接点击'确定'按钮
3. 观察校验提示</t>
  </si>
  <si>
    <t>1. 券名称下方显示'请输入券名称'，颜色#EF4444，字号12px
2. 优惠券类型下方显示'请选择类型'
3. 面额/折扣下方显示'请输入面额/折扣'
4. 按钮不关闭弹窗，表单数据不丢失
5. 校验触发时间&lt;=100ms</t>
  </si>
  <si>
    <t>展示正常，各字段提示词完整</t>
  </si>
  <si>
    <t>CPN-CREATE-003</t>
  </si>
  <si>
    <t>新建-券名称输入</t>
  </si>
  <si>
    <t>1. 输入'新人首租立减5元'
2. 输入200字超长名称
3. 输入特殊字符&lt;script&gt;alert(1)&lt;/script&gt;
4. 清空后失焦</t>
  </si>
  <si>
    <t>1. 正常名称显示完整
2. 超过20字时截断提示'券名称不能超过30字'，颜色#EF4444
3. 特殊字符被转义为纯文本，不执行脚本
4. 清空后显示'请输入券名称'提示
5. 输入框高度40px，字号14px</t>
  </si>
  <si>
    <t>1.展示正常
2.达到20字段限制，就无法输入
3.提示优惠劵名称不能大于20字
4.提示’请输入优惠劵名称‘</t>
  </si>
  <si>
    <t>CPN-CREATE-004</t>
  </si>
  <si>
    <t>新建-类型选择(面额券)</t>
  </si>
  <si>
    <t xml:space="preserve">1. 选择'面额券'
2. 观察面额输入框
</t>
  </si>
  <si>
    <t>1. 选择'面额券'后显示'面额'输入框，placeholder:'请输入优惠金额(元)
2. 下拉框宽度200px，选项高度36px</t>
  </si>
  <si>
    <t>1.输入框’请输入优惠劵面额‘
2.面额必须为大于等于1.00的正二分位小数
3.显示正常</t>
  </si>
  <si>
    <t>CPN-CREATE-005</t>
  </si>
  <si>
    <t>新建-面额输入校验</t>
  </si>
  <si>
    <t>1. 类型已选择'面额券'</t>
  </si>
  <si>
    <t>1. 输入'5'
2. 输入'0'
3. 输入'-5'
4. 输入'999999'
5. 输入'abc'</t>
  </si>
  <si>
    <t>1. 输入5: 校验通过，显示'优惠5元'
2. 输入0: 提示'面额必须大于0'，颜色#EF4444
3. 输入-5: 提示'面额必须大于0'
4. 输入999999: 提示'面额不能超过99999'，颜色#EF4444
5. 输入abc: 输入框仅允许数字和小数点，非数字字符被拦截
6. 后端二次校验，前端绕过时返回400</t>
  </si>
  <si>
    <t>1.面额必须为大于等于1.00的正二分位小数
2.面额不能操过99999999.00
3.非数字被拦截</t>
  </si>
  <si>
    <t>CPN-CREATE-009</t>
  </si>
  <si>
    <t>新建-领取方式选择</t>
  </si>
  <si>
    <t>1. 点击领取方式下拉框
2. 选择'可手动领取'
3. 切换为'不可手动领取'</t>
  </si>
  <si>
    <t>1. 选项: 可手动领取/不可手动领取
2. 选择'可手动领取': 用户可在前端手动领取
3. 选择'不可手动领取': 仅后台指定发放
4. 切换后无额外表单联动
5. 默认选中'可手动领取'</t>
  </si>
  <si>
    <t>1. 选项: 可手动领取/不可手动领取
2. 选择'可手动领取': 用户可在前端商品页面可手动领取
3. 选择'不可手动领取': 仅后台指定发放
4. 切换后无额外表单联动
5. 默认选中'可手动领取'</t>
  </si>
  <si>
    <t>CPN-CREATE-010</t>
  </si>
  <si>
    <t>新建-有效期类型选择</t>
  </si>
  <si>
    <t>1. 选择'长期有效'
2. 切换为'固定时间'
3. 切换为'领取之日起'</t>
  </si>
  <si>
    <t>1. 长期有效: 不显示日期选择器，提示'永久有效'，颜色#10B981
2. 固定时间: 显示'开始日期'和'结束日期'两个日期选择器
3. 领取之日起: 显示'有效天数'输入框，placeholder:'请输入天数'
4. 切换类型时日期/天数输入值保留不清空</t>
  </si>
  <si>
    <t>1. 长期有效: 不显示日期选择器，提示'永久有效'，颜色#10B981
2. 固定时间: 过期时间选择器
3. 领取之日起: 显示'有效天数'输入框，placeholder:'请输入天数'
4. 切换类型时日期/天数输入值保留不清空</t>
  </si>
  <si>
    <t>1. 有效期类型已选择'固定时间'</t>
  </si>
  <si>
    <t>1. 开始日期选择今天之前的日期
2. 结束日期早于开始日期
3. 开始日期和结束日期相同
4. 开始和结束都选今天</t>
  </si>
  <si>
    <t>1. 开始日期&lt;今天: 提示'开始日期不能早于今天'，颜色#EF4444
2. 结束&lt;开始: 提示'结束日期不能早于开始日期'
3. 开始=结束: 提示'有效期至少为1天'
4. 开始=结束=今天: 同上提示
5. 校验在日期选择关闭后&lt;=100ms触发
6. 后端二次校验日期合法性</t>
  </si>
  <si>
    <t>CPN-CREATE-012</t>
  </si>
  <si>
    <t>新建-领取之日起天数校验</t>
  </si>
  <si>
    <t>1. 有效期类型已选择'领取之日起'</t>
  </si>
  <si>
    <t>1. 输入'30'
2. 输入'0'
3. 输入'-1'
4. 输入'999'
5. 输入小数'7.5'</t>
  </si>
  <si>
    <t>1. 输入30: 校验通过
2. 输入0: 提示'有效天数必须大于0'
3. 输入-1: 提示'有效天数必须大于0'
4. 输入999: 提示'有效天数不能超过365天'
5. 输入7.5: 仅允许正整数，小数被截断为7</t>
  </si>
  <si>
    <t>1.30通过
2.输入0确认，直接强制改为1
3.强制改为1
4.为对有效天数时间进行限制
5.小数被熔断，对小数部分进行四舍五入归并到整数，只留整数部分</t>
  </si>
  <si>
    <t>CPN-CREATE-013</t>
  </si>
  <si>
    <t>新建-提交成功</t>
  </si>
  <si>
    <t>1. 所有必填字段已正确填写
2. 面额券/面额5元/全平台/可手动领取/固定时间</t>
  </si>
  <si>
    <t>1. 点击'确定'按钮
2. 观察提交过程和结果</t>
  </si>
  <si>
    <t>1. 按钮loading状态，旋转图标，颜色#3B82F6
2. 提交成功后弹窗关闭，动画时长300ms
3. 列表刷新显示新优惠券，响应时间&lt;=1秒(1000ms)
4. 新券状态默认为'关闭'，标签颜色#FEE2E2
5. 右上角Toast提示'创建成功'，颜色#10B981，3秒后自动消失
6. 编号按规则自动生成，定长17位</t>
  </si>
  <si>
    <t>展示正常，校验功能完整</t>
  </si>
  <si>
    <t>CPN-CREATE-014</t>
  </si>
  <si>
    <t>新建-提交失败(接口异常)</t>
  </si>
  <si>
    <t>1. 所有字段已填写
2. 模拟后端接口返回500</t>
  </si>
  <si>
    <t>1. 点击'确定'按钮
2. 等待接口返回500</t>
  </si>
  <si>
    <t>1. 按钮停止loading，恢复可点击状态
2. 弹窗提示'创建失败，请稍后重试'，颜色#EF4444
3. 表单数据不丢失，用户可重新提交
4. Console无未捕获的Promise异常</t>
  </si>
  <si>
    <t>提示创建失败，请稍后重试</t>
  </si>
  <si>
    <t>CPN-CREATE-015</t>
  </si>
  <si>
    <t>新建-取消/关闭弹窗</t>
  </si>
  <si>
    <t>1. 已填写部分表单数据</t>
  </si>
  <si>
    <t>1. 点击弹窗右上角X按钮
2. 重新打开新建弹窗
3. 点击遮罩层</t>
  </si>
  <si>
    <t>1. 弹窗关闭，动画时长300ms
2. 重新打开弹窗表单为空(不保留上次数据)
3. 点击遮罩层同样关闭弹窗
4. 关闭过程无JS报错</t>
  </si>
  <si>
    <t>重新打开不保留先前数据</t>
  </si>
  <si>
    <t>CPN-CREATE-016</t>
  </si>
  <si>
    <t>编辑-修改关闭状态的券</t>
  </si>
  <si>
    <t>1. 存在'关闭'状态的优惠券</t>
  </si>
  <si>
    <t>1. 点击'编辑'按钮
2. 修改面额从5元为10元
3. 点击确定</t>
  </si>
  <si>
    <t xml:space="preserve">1.已经打开的优惠卷无法进行更改，仅能关闭和查看详情
2.未开启的优惠劵，可以对优惠劵进行修改
</t>
  </si>
  <si>
    <t>已开启的优惠劵无法更改；未开启可更改</t>
  </si>
  <si>
    <t>CPN-CREATE-017</t>
  </si>
  <si>
    <t>编辑-编号不可修改</t>
  </si>
  <si>
    <t>1. 存在'关闭'状态的优惠券
2. 编辑弹窗已打开</t>
  </si>
  <si>
    <t>1. 观察编号字段
2. 尝试修改编号内容
3. 通过F12开发者工具修改disabled属性后提交</t>
  </si>
  <si>
    <t>1. 编号字段为只读(disabled/readonly)
2. 字段背景色#F3F4F6，文字颜色#9CA3AF
3. 光标不可聚焦到编号输入框
4. 编号格式CP260717010000001，定长17位
5. 前端绕过disabled后提交，后端返回400并忽略编号字段</t>
  </si>
  <si>
    <t>1.展示正常，各字段提示词完整
2.后台返回400</t>
  </si>
  <si>
    <t>1. 当天首次创建优惠券
2. 当天已创建过优惠券</t>
  </si>
  <si>
    <t>1. 创建第1张券，记录编号
2. 再创建第2张券，记录编号
3. 创建第100张券</t>
  </si>
  <si>
    <t>1. 第1张编号: CP+当天日期YYMMDD+01+0000001(父ID)
2. 第2张编号: 后7位子序号递增为0000002
3. 每天最多100张(父序号00~99)
4. 编号定长17位，纯数字+CP前缀
5. 单张券千万级不扩容
6. 编号全局唯一，后端有唯一索引保护</t>
  </si>
  <si>
    <t>CPN-CREATE-019</t>
  </si>
  <si>
    <t>新建-表单数据持久化(刷新不丢失)</t>
  </si>
  <si>
    <t>1. 新建弹窗已打开
2. 已填写部分字段</t>
  </si>
  <si>
    <t>1. 填写券名称和面额
2. 按F5刷新页面
3. 重新点击新建优惠券</t>
  </si>
  <si>
    <t>1. 刷新后弹窗关闭
2. 重新打开弹窗，表单数据已清空(或保留草稿)
3. 若保留草稿: 有'恢复上次填写'提示
4. 若不保留: 表单为空，行为符合预期</t>
  </si>
  <si>
    <t>刷新后表单数据清除</t>
  </si>
  <si>
    <t>CPN-CREATE-020</t>
  </si>
  <si>
    <t>新建-折扣券类型选择与字段联动</t>
  </si>
  <si>
    <t>1. 观察默认优惠券类型
2. 选择'折扣券'
3. 观察下方字段变化
4. 切换回'面额券'</t>
  </si>
  <si>
    <t>1. 默认未选中或选中'面额券'
2. 选择'折扣券'后: 显示'折扣'输入框(单位'折')+'最大优惠金额'输入框(选填)
3. '面额'输入框隐藏
4. 切换回'面额券': '折扣'和'最大优惠金额'隐藏，'面额'输入框显示
5. 字段联动无残留数据</t>
  </si>
  <si>
    <t>CPN-CREATE-021</t>
  </si>
  <si>
    <t>新建-折扣券折扣值校验</t>
  </si>
  <si>
    <t>1. 优惠券类型已选择'折扣券'</t>
  </si>
  <si>
    <t>1. 输入'8.5'(正常值)
2. 输入'1.0'(最小边界)
3. 输入'9.9'(最大边界)
4. 输入'0.9'(低于1.0)
5. 输入'10'(超过9.9)
6. 输入'8.55'(两位小数)
7. 输入'abc'(非数字)
8. 输入'0'(零)
9. 输入'-5'(负数)</t>
  </si>
  <si>
    <t>1. 8.5: 校验通过，提示'1.0~9.9折，保留一位小数'
2. 1.0: 校验通过(最小值)
3. 9.9: 校验通过(最大值)
4. 0.9: 阻止，提示'折扣范围1.0~9.9折'
5. 10: 阻止，提示'折扣范围1.0~9.9折'
6. 8.55: 阻止，提示'保留一位小数'或自动截断为8.5
7. abc: 阻止，仅允许数字输入
8. 0: 阻止，提示'折扣范围1.0~9.9折'
9. -5: 阻止，不允许负数</t>
  </si>
  <si>
    <t>1.校验功能完善，最大9.9最小1.0
2.输入折扣大于9.9的自动返回9.9，小于1.0的自动返回1.0</t>
  </si>
  <si>
    <t>CPN-CREATE-022</t>
  </si>
  <si>
    <t>新建-折扣券最大优惠金额</t>
  </si>
  <si>
    <t>1. 优惠券类型已选择'折扣券'
2. 折扣已输入8.5</t>
  </si>
  <si>
    <t>1. 不填最大优惠金额，提交
2. 填写'50'(正常整数)
3. 填写'0'
4. 填写'50.5'(小数)
5. 填写'-10'(负数)
6. 填写'abc'(非数字)</t>
  </si>
  <si>
    <t>1. 不填: 允许提交(选填字段)，无封顶限制
2. 50: 校验通过，提示'实际优惠不超过50元'
3. 0: 阻止，提示'最大优惠金额必须大于0'
4. 50.5: 阻止，提示'不可输入小数'或截断为50
5. -10: 阻止，不允许负数
6. abc: 阻止，仅允许整数
7. 后端存储为整数类型</t>
  </si>
  <si>
    <t>1.校验正常
2.对小数部分进行四舍五入，对5.5熔断为6
3.仅允许整数存在</t>
  </si>
  <si>
    <t>1. 已创建折扣券: 8.5折，最大优惠50元
2. 已创建折扣券: 8.5折，无最大优惠金额</t>
  </si>
  <si>
    <t>1. 订单金额200元，使用8.5折+封顶50元券
2. 订单金额200元，使用8.5折+无封顶券
3. 订单金额50元，使用8.5折+封顶50元券
4. 订单金额500元，使用8.5折+封顶50元券</t>
  </si>
  <si>
    <t>1. 200*0.15=30元优惠(&lt;50封顶)，实际优惠30元，实付170元
2. 200*0.15=30元优惠(无封顶)，实际优惠30元，实付170元
3. 50*0.15=7.5元优惠(&lt;50封顶)，实际优惠7.5元，实付42.5元
4. 500*0.15=75元优惠(&gt;50封顶)，实际优惠50元(封顶)，实付450元
5. 抵扣计算后端校验，前端不可绕过</t>
  </si>
  <si>
    <t>CPN-CREATE-024</t>
  </si>
  <si>
    <t>新建-使用门槛边界值校验</t>
  </si>
  <si>
    <t>1. 不修改使用门槛(默认0)
2. 清空使用门槛
3. 输入'0'(无门槛)
4. 输入'100'(满100可用)
5. 输入'-1'(负数)
6. 输入'100.5'(小数)
7. 输入'abc'(非数字)
8. 输入'999999'(超大数)</t>
  </si>
  <si>
    <t>1. 默认0: 校验通过，展示'无门槛'
2. 清空: 阻止提交，提示'请输入使用门槛'
3. 输入0: 校验通过，展示'无门槛'
4. 输入100: 校验通过，展示'满100元可用'
5. 输入-1: 阻止，提示'使用门槛不可为负数'
6. 输入100.5: 阻止，提示'使用门槛必须为整数'或自动截断
7. 输入abc: 阻止，仅允许数字
8. 输入999999: 阻止，提示'使用门槛不能超过99999'</t>
  </si>
  <si>
    <t>校验功能正常，对非正常值进行判断，限制大小</t>
  </si>
  <si>
    <t>1. 查看业务类型选项
2. 选择'全部'
3. 选择'出售账号'
4. 选择'购买账号'
5. 选择'出租账号'
6. 选择'租到账号'
7. 选择'增值服务'</t>
  </si>
  <si>
    <t>1. 选项: 全部/出售账号/购买账号/出租账号/租到账号/增值服务，共6项
2. 选择'全部': 券适用所有业务场景
3. 选择'出售账号': 券仅用于出售账号订单
4. 选择'购买账号': 券仅用于购买账号订单
5. 选择'出租账号': 券仅用于出租账号订单
6. 选择'租到账号': 券仅用于租到账号订单
7. 选择'增值服务': 券仅用于增值服务订单
8. 业务类型为必填，单选互斥</t>
  </si>
  <si>
    <t>CPN-CREATE-026</t>
  </si>
  <si>
    <t>新建-手动领取开关交互</t>
  </si>
  <si>
    <t>1. 查看默认开关状态
2. 点击开关切换为'开启'
3. 查看标签文案
4. 点击开关切换为'关闭'
5. 查看标签文案</t>
  </si>
  <si>
    <t>1. 默认开关为'开启'状态(蓝色)
2. 开启时标签: '开启（可手动领取）'
3. 开启: 用户可在C端主动领取该券
4. 关闭时标签: '关闭（不可手动领取）'
5. 关闭: 仅后台指定发放，C端不展示领取入口
6. 开关切换有过渡动画(300ms)
7. 切换不影响其他字段数据</t>
  </si>
  <si>
    <t>1.手动领取开：用户进入任意商品列表即可领取
2.手动领取关：用户满足一定条件才可以领取</t>
  </si>
  <si>
    <t>CPN-CREATE-027</t>
  </si>
  <si>
    <t>新建-备注字段校验</t>
  </si>
  <si>
    <t>1. 不填备注，提交
2. 输入'运营备注-新人专享'
3. 输入500字(边界值)
4. 输入501字
5. 输入含换行的备注
6. 输入特殊字符&lt;script&gt;</t>
  </si>
  <si>
    <t>1. 不填: 根据截图备注为必填(带红色星号)，阻止提交提示'请输入备注'
2. 正常文本: 校验通过
3. 500字: 校验通过(边界值)
4. 501字: 阻止，提示'备注不能超过500字'，字符计数显示500/500
5. 含换行: 正常接受，换行符计入字数
6. 特殊字符: 转义为纯文本存储，不执行脚本
7. 右下角字符计数器实时更新(如120/500)</t>
  </si>
  <si>
    <t>1.提示：请输入备注
2.校验通过
3.系统限制字数为500字，无法超过500字
4.换行符正常计入字数
5.转义为纯文本存储，不执行脚本
6.右下角计数器实时计数</t>
  </si>
  <si>
    <t>CPN-CREATE-028</t>
  </si>
  <si>
    <t>新建-增值服务包赔内容选择</t>
  </si>
  <si>
    <t>1. 优惠券类型已选择
2. 业务类型已选择'增值服务'</t>
  </si>
  <si>
    <t>1. 观察是否显示'包赔内容'字段
2. 点击包赔内容下拉框
3. 查看选项列表
4. 选择'人脸包赔'
5. 选择'200元档位'
6. 选择'免费包赔'</t>
  </si>
  <si>
    <t>1. 业务类型选'增值服务'后显示'包赔内容'字段(必填)
2. 下拉选项: 人脸包赔/双倍包赔/单倍包赔/免费包赔/200元档位/100元档位/50元档位/20元档位
3. 选项分组: 服务类型(人脸/双倍/单倍/免费) + 金额档位(200/100/50/20元)
4. 选择'人脸包赔': 记录包赔类型为人脸包赔
5. 选择'200元档位': 记录包赔金额档位为200元
6. 选择'免费包赔': 记录包赔类型为免费
7. 包赔内容为必填，不选则阻止提交</t>
  </si>
  <si>
    <t>1.包赔内容必填
2.选项展示正常</t>
  </si>
  <si>
    <t>CPN-CREATE-029</t>
  </si>
  <si>
    <t>新建-增值服务包赔内容必填校验</t>
  </si>
  <si>
    <t>1. 业务类型已选择'增值服务'
2. 其他必填字段已填写</t>
  </si>
  <si>
    <t>1. 新建优惠券弹窗已打开
2. 业务类型选择'增值服务'
3. 填写其他必填字段(名称/面额/有效期等)
4. 不选择'包赔内容'
5. 点击'确定'提交</t>
  </si>
  <si>
    <t>1. 阻止提交，表单不关闭
2. 提示'请选择包赔内容'，颜色#EF4444，字号14px
3. 包赔内容下拉框获取焦点，边框变红
4. 后端二次校验包赔内容非空，返回400
5. 填写的其他字段数据保留不丢失</t>
  </si>
  <si>
    <t>选择增值服务，包赔内容为必须非空</t>
  </si>
  <si>
    <t>CPN-CREATE-030</t>
  </si>
  <si>
    <t>新建-业务类型与包赔内容联动</t>
  </si>
  <si>
    <t>1. 弹窗已打开
2. 业务类型当前为'增值服务'
3. 包赔内容已选择</t>
  </si>
  <si>
    <t>1. 将业务类型从'增值服务'切换为'全部'
2. 观察包赔内容字段
3. 切换为'出售账号'
4. 观察包赔内容字段
5. 切换回'增值服务'</t>
  </si>
  <si>
    <t>1. 切换为'全部': '包赔内容'字段隐藏(非增值服务不需要)
2. 切换为'出售账号': '包赔内容'字段隐藏
3. 切换回'增值服务': '包赔内容'字段重新显示
4. 切换后包赔内容已选值清空(避免脏数据)
5. 字段显示/隐藏有过渡动画(300ms)</t>
  </si>
  <si>
    <t>切换类型，内容清空</t>
  </si>
  <si>
    <t>CPN-CREATE-031</t>
  </si>
  <si>
    <t>新建-类型切换数据清理</t>
  </si>
  <si>
    <t>1. 类型已选择'面额券'
2. 面额已输入50
3. 使用门槛已输入100</t>
  </si>
  <si>
    <t>1. 类型选择'面额券'，输入面额50，使用门槛100
2. 切换为'折扣券'
3. 观察面额输入框是否隐藏
4. 观察面额值是否清空
5. 输入折扣8.5
6. 切换回'面额券'
7. 观察折扣输入框是否隐藏
8. 观察折扣值是否清空
9. 检查使用门槛值是否保留</t>
  </si>
  <si>
    <t>1. 切换为折扣券: '面额'输入框隐藏，'折扣'输入框显示
2. 面额值50不保留(切换后清空，避免脏数据)
3. 输入折扣8.5
4. 切换回面额券: '折扣'输入框隐藏，'面额'输入框显示
5. 折扣值8.5不保留(切换后清空)
6. 使用门槛值100保留(两种类型通用字段)
7. 字段联动有过渡动画(300ms)
8. 后端存储时仅保存当前类型对应字段值</t>
  </si>
  <si>
    <t>使用门槛保留；折扣卷折扣和使用最大优惠金额清空，面额卷面额清空</t>
  </si>
  <si>
    <t>后台优惠券功能优化 - 状态流转与操作</t>
  </si>
  <si>
    <t>CPN-STATUS-001</t>
  </si>
  <si>
    <t>开启-关闭状态变为进行中</t>
  </si>
  <si>
    <t>1. 存在'关闭'状态的优惠券
2. 券已设置有效期</t>
  </si>
  <si>
    <t>1. 点击'开启'按钮
2. 观察确认弹窗(如有)
3. 确认开启</t>
  </si>
  <si>
    <t>无法开启已经结束的优惠劵</t>
  </si>
  <si>
    <t>CPN-STATUS-002</t>
  </si>
  <si>
    <t>关闭-进行中变为关闭状态</t>
  </si>
  <si>
    <t>1. 存在'进行中'状态的优惠券
2. 有用户已领取该券</t>
  </si>
  <si>
    <t>1. 点击'关闭'按钮
2. 确认关闭</t>
  </si>
  <si>
    <t>1. 确认弹窗: 确认要关闭优惠券么？关闭优惠券后用户将无法领取优惠券，已领取优惠券的用户不受影响?
2. 确认后状态变为'关闭'，标签颜色#FEE2E2
3. 已领取但未使用的券标记为有用
4. 已使用的券记录保留，不影响历史订单
5. 后端事务保证状态变更和券失效原子性</t>
  </si>
  <si>
    <t>1.弹窗: 确认要关闭优惠券么？关闭优惠券后用户将无法领取优惠券，已领取优惠券的用户不受影响?
2.展示正常，功能正常
3.日志记录正常</t>
  </si>
  <si>
    <t>CPN-STATUS-003</t>
  </si>
  <si>
    <t>到期自动结束</t>
  </si>
  <si>
    <t>1. 存在'固定时间'有效期的进行中优惠券
2. 结束时间为今天23:59:59</t>
  </si>
  <si>
    <t>1. 等待到期时间过后
2. 刷新优惠券列表
3. 观察状态变化</t>
  </si>
  <si>
    <t>1. 到期后状态自动变为'已结束'，标签颜色#E5E7EB
2. 已结束券仅可查看详情
3. 状态切换延迟&lt;=60秒(定时任务扫描间隔)
4. '开启/编辑/删除'按钮均不显示
5. 定时任务幂等，重复执行不产生副作用</t>
  </si>
  <si>
    <t>到期后自动变为已经结束</t>
  </si>
  <si>
    <t>CPN-STATUS-004</t>
  </si>
  <si>
    <t>删除-关闭状态的券</t>
  </si>
  <si>
    <t>1. 点击'删除'按钮
2. 确认删除
3. 观察列表</t>
  </si>
  <si>
    <t>1. 确认弹窗: '确定删除该优惠券?删除后不可恢复'
2. 确认后列表中该券消失
3. 列表分页总数更新
4. 删除操作响应时间&lt;=500ms
5. 软删除(数据保留可追溯)或硬删除(需确认产品需求)</t>
  </si>
  <si>
    <t>1.删除后不可恢复，日志保留操作
2.列表页更新，响应时间&lt;500ms</t>
  </si>
  <si>
    <t>CPN-STATUS-005</t>
  </si>
  <si>
    <t>删除-进行中/已结束不可删除</t>
  </si>
  <si>
    <t>1. 存在'进行中'和'已结束'的优惠券</t>
  </si>
  <si>
    <t>1. 观察'进行中'券的操作列
2. 观察'已结束'券的操作列
3. 通过F12控制台直接调用删除接口</t>
  </si>
  <si>
    <t>1. 进行中状态: 操作列无'删除'按钮
2. 已结束状态: 操作列无'删除'按钮
3. 前端绕过直接调接口返回403 Forbidden
4. 后端状态校验: 仅'关闭'状态可删除
5. 返回错误信息: '当前状态不允许删除'</t>
  </si>
  <si>
    <t>1.进行中的优惠劵无法直接删除
2.已结束也无法删除
3.仅当优惠劵处于关闭状态可删除</t>
  </si>
  <si>
    <t>CPN-STATUS-006</t>
  </si>
  <si>
    <t>详情-查看优惠券详情</t>
  </si>
  <si>
    <t>1. 存在任意状态的优惠券</t>
  </si>
  <si>
    <t>1. 点击'详情'按钮
2. 观察详情弹窗/页面</t>
  </si>
  <si>
    <t>1. 弹窗/页面展示完整券信息: 编号/名称/类型/面额/业务类型/领取方式/有效期/状态
2. 包含使用统计: 已发放X张/已使用X张/使用率X%
3. 使用率进度条，宽度100%，高度8px，填充色#3B82F6
4. 仅为只读，无编辑功能</t>
  </si>
  <si>
    <t>展示正常，无编辑功能</t>
  </si>
  <si>
    <t>CPN-STATUS-007</t>
  </si>
  <si>
    <t>开启-无效期设置时开启</t>
  </si>
  <si>
    <t>1. 存在'关闭'状态且有效期类型为'固定时间'
2. 结束日期已过</t>
  </si>
  <si>
    <t>1. 点击'开启'按钮</t>
  </si>
  <si>
    <t>1. 提示'优惠券有效期已过，请先修改有效期'，颜色#F59E0B
2. 不执行开启操作
3. 弹窗不关闭，引导用户编辑有效期
4. 后端二次校验: 有效期已过的券不可开启</t>
  </si>
  <si>
    <t>关闭状态为结束台无法进行出删除查看详情外的其他操作</t>
  </si>
  <si>
    <t>CPN-STATUS-008</t>
  </si>
  <si>
    <t>开启-长期有效券开启</t>
  </si>
  <si>
    <t>1. 存在'关闭'状态且有效期类型为'长期有效'的优惠券</t>
  </si>
  <si>
    <t>1. 点击'开启'按钮
2. 确认</t>
  </si>
  <si>
    <t xml:space="preserve">1. 有效期校验拦截
2. 无法开启成功，状态变为'进行中'
</t>
  </si>
  <si>
    <t>CPN-STATUS-009</t>
  </si>
  <si>
    <t>状态-非法状态转换拦截</t>
  </si>
  <si>
    <t>1. 存在'已结束'状态的优惠券</t>
  </si>
  <si>
    <t>1. 通过F12控制台或Postman直接调用开启接口
2. 传入已结束状态的券ID
3. 尝试直接修改状态为'进行中'</t>
  </si>
  <si>
    <t>1. 后端返回403或400: '当前状态不可开启'
2. 数据库状态不变
3. 记录操作日志(操作人/时间/IP/违规操作)
4. 已结束-&gt;进行中 转换被拦截，状态机严格校验</t>
  </si>
  <si>
    <t>1. 后端返回403或400: '当前状态不可开启'
2. 数据库状态不变
3. 记录操作日志(操作人/时间/IP/违规操作)</t>
  </si>
  <si>
    <t>后台优惠券功能优化 - 异常场景与边界测试</t>
  </si>
  <si>
    <t>CPN-ERR-001</t>
  </si>
  <si>
    <t>接口异常-列表加载失败</t>
  </si>
  <si>
    <t>1. 模拟优惠券列表接口返回500</t>
  </si>
  <si>
    <t>1. 进入优惠券管理页面
2. 观察页面展示</t>
  </si>
  <si>
    <t>1. 列表区域显示错误提示'数据加载失败，请重试'，颜色#EF4444
2. 有'重新加载'按钮，颜色#3B82F6
3. 不显示空白页面或堆栈信息
4. 自动重试间隔5秒(5000ms)，最多3次</t>
  </si>
  <si>
    <t>页面无异常，展示功能正常显示</t>
  </si>
  <si>
    <t>CPN-ERR-002</t>
  </si>
  <si>
    <t>并发-同时开启同一张券</t>
  </si>
  <si>
    <t>1. 两个管理员同时操作同一浏览器/不同浏览器</t>
  </si>
  <si>
    <t>1. 管理员A点击'开启'
2. 管理员B同时点击'开启'
3. 观察结果</t>
  </si>
  <si>
    <t>1. 仅第一次开启成功，第二次提示'优惠券已被开启'或状态已变更
2. 不出现重复开启或数据不一致
3. 后端有乐观锁/分布式锁保护
4. 接口返回HTTP 409或200+状态已变更提示</t>
  </si>
  <si>
    <t>为异步操作，操作完毕后另一方点击刷新才能得到更改</t>
  </si>
  <si>
    <t>CPN-ERR-003</t>
  </si>
  <si>
    <t>并发-同时编辑同一张券</t>
  </si>
  <si>
    <t>1. 两个管理员同时打开同一券的编辑弹窗</t>
  </si>
  <si>
    <t>1. A修改面额为10元并保存
2. B修改面额为20元并保存（慢A1s)</t>
  </si>
  <si>
    <t>1. A保存成功
2. B保存时提示'数据已被修改，请刷新后重试'
3. 后端返回409 Conflict或版本号校验失败
4. B刷新后看到A修改后的10元</t>
  </si>
  <si>
    <t>以最后修改为准，修改后页面刷新，看到的优惠劵为最后时间的修改金额(20)</t>
  </si>
  <si>
    <t>CPN-ERR-004</t>
  </si>
  <si>
    <t>权限-非管理员访问</t>
  </si>
  <si>
    <t>1. 使用非管理员账号登录后台</t>
  </si>
  <si>
    <t>1. 直接访问优惠券管理页面URL
2. 观察页面响应</t>
  </si>
  <si>
    <t>1. 返回403 Forbidden或跳转到无权限提示页
2. 不显示任何优惠券数据
3. 前端路由守卫拦截，无白屏闪烁
4. 接口返回{code:403, message:'无权限访问'}
5. 后端RBAC校验: 缺少coupon:read权限时拒绝</t>
  </si>
  <si>
    <t>非管理员无优惠劵功能模块</t>
  </si>
  <si>
    <t>CPN-ERR-005</t>
  </si>
  <si>
    <t>XSS-券名称注入</t>
  </si>
  <si>
    <t>1. 券名称输入: &lt;img src=x onerror=alert(document.cookie)&gt;
2. 提交表单
3. 在列表和详情中查看该券</t>
  </si>
  <si>
    <t>1. 提交成功(不拦截正常业务操作)
2. 列表中券名称显示为纯文本，不执行脚本
3. 详情页同样显示为纯文本
4. DOM中已被HTML实体编码(&amp;lt;img...&amp;gt;)
5. 后端存储前做HTML实体编码</t>
  </si>
  <si>
    <t>不会执行脚本并且提示：优惠券名称不能大于20个字</t>
  </si>
  <si>
    <t>1. 优惠券列表页面已打开</t>
  </si>
  <si>
    <t>1. 搜索框输入: ' OR '1'='1
2. 点击搜索
3. 搜索框输入: ; DROP TABLE coupon;--
4. 点击搜索</t>
  </si>
  <si>
    <t>1. 搜索返回空结果或提示'无匹配优惠券'
2. 不返回全部数据(验证SQL注入无效)
3. 后端接口返回HTTP 200(非500)
4. 数据库表结构不泄露
5. 后端使用参数化查询/ORM防注入</t>
  </si>
  <si>
    <t>CPN-ERR-007</t>
  </si>
  <si>
    <t>边界-面额精度</t>
  </si>
  <si>
    <t>1. 输入'0.01'
2. 输入'0.001'
3. 输入'5.555'</t>
  </si>
  <si>
    <t>1. 输入0.01: 校验通过，展示'优惠0.01元'
2. 输入0.001: 四舍五入为0.00或提示'最小精度为0.01元'
3. 输入5.555: 四舍五入为5.56元
4. 后端存储精度为DECIMAL(10,2)</t>
  </si>
  <si>
    <t>1.面额精度未0.01两分位
2.对0.005三分位上的数字进行四舍五入</t>
  </si>
  <si>
    <t>1. 当天已创建99张优惠券(父序号已用到99)</t>
  </si>
  <si>
    <t>1. 创建第100张优惠券
2. 尝试创建第101张</t>
  </si>
  <si>
    <t>1. 第100张创建成功，父序号为99
2. 第101张提示'今日优惠券创建数量已达上限(100张)'，颜色#EF4444
3. 按钮不置灰(允许用户第二天创建)
4. 父序号范围00-99，单张券千万级不扩容
5. 后端有计数器+唯一索引双重保护</t>
  </si>
  <si>
    <t>CPN-ERR-009</t>
  </si>
  <si>
    <t>边界-子序号递增到9999999</t>
  </si>
  <si>
    <t>1. 某父序号下子序号已到9999999</t>
  </si>
  <si>
    <t>1. 尝试在该父序号下创建新券</t>
  </si>
  <si>
    <t>1. 提示'当前批次优惠券数量已达上限'
2. 自动递增父序号(如01-&gt;02)
3. 新父序号下子序号从0000001开始
4. 编号始终定长17位</t>
  </si>
  <si>
    <t>1.提示'当前批次优惠券数量已达上限'
2.无法创建</t>
  </si>
  <si>
    <t>CPN-ERR-010</t>
  </si>
  <si>
    <t>弱网-创建提交超时</t>
  </si>
  <si>
    <t>1. 设置Network为Slow 3G
2. 新建优惠券弹窗已填写完毕</t>
  </si>
  <si>
    <t>1. 点击'确定'按钮
2. 等待接口响应
3. 观察按钮和弹窗状态</t>
  </si>
  <si>
    <t>1. 按钮显示loading旋转图标，防止重复提交(disabled)
2. 超过10秒(10000ms)显示'请求超时，请重试'
3. 弹窗不自动关闭，数据不丢失
4. 网络恢复后可重新提交</t>
  </si>
  <si>
    <t>1.提示：后端接口连接异常
2.</t>
  </si>
  <si>
    <t>CPN-ERR-011</t>
  </si>
  <si>
    <t>边界-面额超出订单金额</t>
  </si>
  <si>
    <t>1. 创建面额券，面额为1000元
2. 用户租用商品租金为50元</t>
  </si>
  <si>
    <t>1. 在后台创建面额1000元的优惠券
2. 前端用户租用50元商品时使用该券
3. 观察抵扣结果</t>
  </si>
  <si>
    <t>1. 若面额&gt;订单金额: 实付0元，不找零
2. 或提示'优惠券面额不能大于订单金额'
3. 具体行为需确认产品需求
4. 后端校验: 实付金额&gt;=0，不可为负</t>
  </si>
  <si>
    <t>1.订单支付金额0.01
2.优惠劵优惠金额不能大于订单金额
3.实际支付不可为0和负数</t>
  </si>
  <si>
    <t>CPN-ERR-012</t>
  </si>
  <si>
    <t>数据一致性-关闭券后已领券用户</t>
  </si>
  <si>
    <t>1. 优惠券处于'进行中'状态
2. 用户A已领取但未使用
3. 用户B已领取且已使用</t>
  </si>
  <si>
    <t>1. 后台关闭该优惠券
2. 用户A查看'我的优惠券'
3. 用户B查看历史订单</t>
  </si>
  <si>
    <t>1. 用户A的券状态无变化
2. 用户A依然使用该券下单
3. 用户B的历史订单不受影响，券仍标记为'已使用'
4. 数据一致性: 状态变更和券失效在同一事务中</t>
  </si>
  <si>
    <t>1.用户A依然使用该券下单
2. 用户B的历史订单不受影响，券仍标记为'已使用'</t>
  </si>
  <si>
    <t>CPN-ERR-013</t>
  </si>
  <si>
    <t>性能-列表接口响应时间</t>
  </si>
  <si>
    <t>1. 系统中有100条优惠券
2. Chrome DevTools Network面板</t>
  </si>
  <si>
    <t>1. 打开优惠券管理页面
2. 记录列表接口响应时间
3. 使用P95指标评估</t>
  </si>
  <si>
    <t>1. 列表接口P95响应时间&lt;=800ms
2. 数据库查询有索引(created_at, status)
3. 接口返回字段精简(不返回大字段如备注)
4. 支持分页，单次返回&lt;=20条</t>
  </si>
  <si>
    <t>响应速度符合预期</t>
  </si>
  <si>
    <t>后台优惠券功能优化 - H5端前端可见性</t>
  </si>
  <si>
    <t>CPN-VIS-001</t>
  </si>
  <si>
    <t>H5端未登录用户优惠券入口可见性</t>
  </si>
  <si>
    <t>用户未登录，H5端首页已加载，存在进行中的优惠券活动</t>
  </si>
  <si>
    <t>1. 未登录状态下打开H5端首页
2. 查看是否有优惠券入口/标识
3. 查看商品详情页是否有可用券提示
4. 查看下单页是否有优惠券选择入口
5. 查看券包/卡包入口</t>
  </si>
  <si>
    <t>未登录用户首页可见优惠券入口或标识；商品详情页展示可用券提示（如「登录领券」）；下单页提示登录后可使用优惠券；券包入口可见但点击后引导登录；未登录状态下不展示个人专属券</t>
  </si>
  <si>
    <t>未登录用户不可见优惠劵；点击商品详情自动跳转到登录窗口</t>
  </si>
  <si>
    <t>CPN-VIS-002</t>
  </si>
  <si>
    <t>H5端普通等级用户可用券展示</t>
  </si>
  <si>
    <t>普通等级用户已登录，系统配置了全场通用券和部分等级专属券</t>
  </si>
  <si>
    <t>1. 用户登录后打开H5端首页
2. 查看券包/卡包中的可用券列表
3. 核对可用券数量与后台配置一致
4. 查看券的状态标识（可用/即将过期）
5. 查看券的适用范围和门槛</t>
  </si>
  <si>
    <t>普通用户可见所有全场通用券；不可见高等级专属券；券数量与后台配置一致；可用券有明确标识；每条券展示面额/有效期/适用范围；即将过期券有特殊标识提醒</t>
  </si>
  <si>
    <t>普通用户可见所有全场通用券；不可见高等级专属券；券数量与后台配置一致；可用券有明确标识；每条券展示面额/有效期/适用范围；已经过期券有提醒</t>
  </si>
  <si>
    <t>CPN-VIS-003</t>
  </si>
  <si>
    <t>H5端高等级用户专属券展示</t>
  </si>
  <si>
    <t>高等级用户已登录，系统配置了Lv.5钻石专属券和全场通用券</t>
  </si>
  <si>
    <t>1. 高等级用户登录后查看券包
2. 核对可用券列表
3. 查看Lv.5专属券标识
4. 查看专属券与普通券的区分
5. 切换低等级账号查看差异</t>
  </si>
  <si>
    <t>高等级用户可见全场通用券+等级专属券；专属券有「Lv.5专属」或类似标识；专属券与普通券在列表中有视觉区分；低等级用户不可见专属券；专属券展示规则与后台等级配置一致</t>
  </si>
  <si>
    <t>专属卷设置为等级首次到达才可以得到，有专门标识；低用户不可见专属卷；优惠劵与后台配置一致</t>
  </si>
  <si>
    <t>CPN-VIS-004</t>
  </si>
  <si>
    <t>H5端商品详情页可用券展示</t>
  </si>
  <si>
    <t>用户已登录，某商品配置了可用优惠券</t>
  </si>
  <si>
    <t>1. 用户打开商品详情页
2. 查看页面是否有「领券」或「可用券」入口
3. 点击入口查看可用券列表
4. 核对可用券与商品业务类型匹配
5. 查看不可用券的灰显状态</t>
  </si>
  <si>
    <t>商品详情页展示「领券」或「可用券X张」入口；点击后展示该商品可用的优惠券列表；列表中的券与该商品业务类型匹配；不匹配业务类型的券不展示或灰显；券面额/门槛/有效期信息完整</t>
  </si>
  <si>
    <t>商品详情页展示可手动领取的优惠劵；点击优惠劵弹出领取窗口；不匹配的优惠劵在使用时不显示在优惠劵使用页面；优惠劵使用规则信息完整</t>
  </si>
  <si>
    <t>CPN-VIS-005</t>
  </si>
  <si>
    <t>H5端下单页券自动推荐与选择</t>
  </si>
  <si>
    <t>用户已登录，券包中有多个可用券，正在下单流程中</t>
  </si>
  <si>
    <t>1. 用户选择商品后进入下单页
2. 查看优惠券区域默认展示
3. 查看系统是否自动推荐最优券
4. 点击优惠券区域查看可用券列表
5. 手动选择其他券并查看金额变化</t>
  </si>
  <si>
    <t>下单页优惠券区域默认展示可用券数量；系统自动推荐面额最大或折扣最优的券；点击后展开可用券列表；切换不同券时应付金额实时更新；未满足门槛的券灰显不可选；不使用券时展示「不使用优惠券」选项</t>
  </si>
  <si>
    <t>下单展示所有可使用的优惠劵；系统自动推送对订单来说优惠金额最大的优惠劵；切换优惠劵系统实时更新应付款金额；为满足门槛的优惠劵不可见</t>
  </si>
  <si>
    <t>CPN-VIS-006</t>
  </si>
  <si>
    <t>H5端不同业务类型页面券展示差异</t>
  </si>
  <si>
    <t>系统配置了交易类型券和租赁类型券，用户有多个不同类型订单</t>
  </si>
  <si>
    <t>1. 用户打开交易类商品详情页查看可用券
2. 用户打开租赁类商品详情页查看可用券
3. 在交易订单下单页查看可用券
4. 在租赁订单下单页查看可用券
5. 核对券的业务类型筛选逻辑</t>
  </si>
  <si>
    <t>交易类商品页面仅展示交易类型券；租赁类商品页面仅展示租赁类型券；下单页自动筛选与当前业务类型匹配的券；跨业务类型券不展示；业务类型与后台配置一致</t>
  </si>
  <si>
    <t>优惠劵与业务相匹配；下单自动匹配优惠劵；跨业务不暂时优惠劵；优惠劵类型与后台配置一致</t>
  </si>
  <si>
    <t>CPN-VIS-007</t>
  </si>
  <si>
    <t>H5端券包/卡包列表展示</t>
  </si>
  <si>
    <t>用户已登录，券包中有多种状态(可用/已使用/已过期)的优惠券</t>
  </si>
  <si>
    <t>1. 用户打开H5端个人中心
2. 进入券包/卡包页面
3. 查看券列表默认展示（可用券）
4. 切换至「已使用」Tab查看
5. 切换至「已过期」Tab查看</t>
  </si>
  <si>
    <t>券包入口在个人中心显著位置；默认展示可用券列表；已使用券展示使用时间和关联订单；已过期券展示过期时间；列表支持按时间排序；不同状态券有不同颜色/标识区分</t>
  </si>
  <si>
    <t>CPN-VIS-008</t>
  </si>
  <si>
    <t>H5端已过期券状态展示</t>
  </si>
  <si>
    <t>用户有已过期但未使用的优惠券</t>
  </si>
  <si>
    <t>1. 用户打开券包
2. 切换至「已过期」Tab
3. 查看过期券展示信息
4. 查看过期券是否可点击
5. 查看过期提示文案</t>
  </si>
  <si>
    <t>已过期券展示券名称、面额/折扣、过期时间；过期券置灰展示「已过期」标识；点击过期券展示过期详情但不支持使用；过期前3天有「即将过期」提醒；过期券不自动删除保留记录</t>
  </si>
  <si>
    <t>CPN-VIS-009</t>
  </si>
  <si>
    <t>H5端已使用券状态展示</t>
  </si>
  <si>
    <t>用户有已使用的优惠券</t>
  </si>
  <si>
    <t>1. 用户打开券包
2. 切换至「已使用」Tab
3. 查看已使用券展示信息
4. 点击已使用券查看详情
5. 查看关联订单信息</t>
  </si>
  <si>
    <t>已使用券展示券名称、面额/折扣、使用时间；已使用券有「已使用」标识；点击可查看使用详情（关联订单号、订单金额、优惠金额）；使用时间精确到分钟；已使用券不可再次使用</t>
  </si>
  <si>
    <t>展示正常；功能达到预期</t>
  </si>
  <si>
    <t>CPN-VIS-010</t>
  </si>
  <si>
    <t>H5端券使用门槛与适用范围展示</t>
  </si>
  <si>
    <t>系统配置了有使用门槛的优惠券(如满100减20)</t>
  </si>
  <si>
    <t>1. 用户查看券包中的券
2. 查看每张券的使用门槛
3. 查看券的适用范围（全场/指定商品/指定类型）
4. 查看券的使用规则说明
5. 在商品详情页核对门槛提示</t>
  </si>
  <si>
    <t>每张券展示使用门槛（如「满100元可用」）；展示适用范围（全场通用/交易专用/租赁专用）；展示有效期（固定时间/领取后X天）；使用规则说明文案清晰；商品详情页不满足门槛时提示「还差XX元可用」</t>
  </si>
  <si>
    <t>后台优惠券功能优化 - 叠加计算(会员折扣+优惠券+租金补贴)</t>
  </si>
  <si>
    <t>CPN-CAL-001</t>
  </si>
  <si>
    <t>仅优惠券抵扣(满减券)</t>
  </si>
  <si>
    <t>用户有满100减20优惠券，订单金额150元，无会员折扣，无租金补贴</t>
  </si>
  <si>
    <t>1. 用户选择商品后进入下单页
2. 选择满100减20优惠券
3. 查看应付金额计算
4. 核对优惠金额
5. 提交订单确认最终金额</t>
  </si>
  <si>
    <t>优惠金额=20元；应付金额=150-20=130元；优惠明细展示「优惠券:-20元」；订单提交金额与展示一致；支付页金额与下单页一致</t>
  </si>
  <si>
    <t>支付显示正常</t>
  </si>
  <si>
    <t>CPN-CAL-002</t>
  </si>
  <si>
    <t>仅优惠券抵扣(折扣券)</t>
  </si>
  <si>
    <t>用户有9折优惠券(最高优惠50元)，订单金额200元</t>
  </si>
  <si>
    <t>1. 用户选择商品后进入下单页
2. 选择9折优惠券
3. 查看应付金额计算
4. 核对折扣金额
5. 提交订单确认</t>
  </si>
  <si>
    <t>折扣金额=200×0.1=20元（未超过上限50元）；应付金额=200-20=180元；优惠明细展示「优惠券:-20元」；折扣计算基数为订单金额；不超过最高优惠上限</t>
  </si>
  <si>
    <t>计算正常；不超过最大优惠上限</t>
  </si>
  <si>
    <t>CPN-CAL-003</t>
  </si>
  <si>
    <t>仅会员折扣计算</t>
  </si>
  <si>
    <t>用户为Lv.3会员(购买折扣95折=9.5折)，无优惠券，订单金额200元</t>
  </si>
  <si>
    <t>1. 用户进入下单页
2. 查看会员折扣自动应用
3. 核对应付金额
4. 查看优惠明细
5. 提交订单</t>
  </si>
  <si>
    <t>会员折扣金额=200×(1-0.95)=10元；应付金额=200-10=190元；优惠明细展示「会员折扣:-10元」；折扣自动应用无需选择；Lv.3用户折扣比例与后台配置一致</t>
  </si>
  <si>
    <t>先计算优惠劵在计算会员权益；与后台一致</t>
  </si>
  <si>
    <t>CPN-CAL-004</t>
  </si>
  <si>
    <t>优惠券+会员折扣叠加</t>
  </si>
  <si>
    <t>用户为Lv.3会员(购买折扣95折)，有满100减20优惠券，订单金额200元</t>
  </si>
  <si>
    <t>1. 用户进入下单页
2. 选择满100减20优惠券
3. 查看系统自动叠加会员折扣
4. 核对计算顺序和最终金额
5. 提交订单确认</t>
  </si>
  <si>
    <t>计算顺序: 先优惠券后会员折扣 或 先会员折扣后优惠券（按产品规则）；示例: (200-20)×0.95=171元 或 200×0.95-20=170元；优惠明细分别展示券和会员折扣；最终金额与规则一致；无重复扣减</t>
  </si>
  <si>
    <t>先优惠卷后会员等级权益；优惠明细分别展示券和会员折扣；最终金额与规则一致；无重复扣减</t>
  </si>
  <si>
    <t>CPN-CAL-005</t>
  </si>
  <si>
    <t>优惠券+租金补贴叠加</t>
  </si>
  <si>
    <t>用户有满100减20优惠券，有租金补贴比例2%，订单金额(租金)200元</t>
  </si>
  <si>
    <t>1. 用户租赁商品进入下单页
2. 选择满100减20优惠券
3. 查看租金补贴自动应用
4. 核对计算顺序和最终金额
5. 提交订单</t>
  </si>
  <si>
    <t>计算顺序: 先优惠券后租金补贴；租金补贴基数为券后金额；示例: (200-20)×(1-2%)=176.4元；优惠明细分别展示券优惠和租金补贴；补贴比例与后台等级配置一致；最终金额精确到分</t>
  </si>
  <si>
    <t>先优惠卷后会员等级权益；优惠明细分别展示券和会员折扣；补贴最终金额与规则一致；最终金额精确到分</t>
  </si>
  <si>
    <t>CPN-CAL-006</t>
  </si>
  <si>
    <t>会员折扣+租金补贴叠加</t>
  </si>
  <si>
    <t>用户为Lv.3会员(租赁折扣95折)，有租金补贴比例2%，订单租金200元</t>
  </si>
  <si>
    <t>1. 用户租赁商品进入下单页
2. 查看会员折扣自动应用
3. 查看租金补贴自动应用
4. 核对计算顺序
5. 提交订单确认</t>
  </si>
  <si>
    <t>计算顺序: 先会员折扣后租金补贴；示例: 200×0.95=190元；优惠明细分别展示会员折扣和租金补贴；两者无叠加无冲突；最终金额与后台配置规则一致</t>
  </si>
  <si>
    <t>会员折扣与会员租金比例补贴无叠加无冲突</t>
  </si>
  <si>
    <t>CPN-CAL-007</t>
  </si>
  <si>
    <t>三者叠加(会员折扣+优惠券+租金补贴)</t>
  </si>
  <si>
    <t>用户为Lv.3会员，有满100减20优惠券，有租金补贴2%，订单租金200元</t>
  </si>
  <si>
    <t>1. 用户租赁商品进入下单页
2. 选择满100减20优惠券
3. 查看会员折扣和租金补贴自动应用
4. 核对三者叠加计算顺序
5. 提交订单确认最终金额</t>
  </si>
  <si>
    <t>计算顺序: 先优惠券→再会员折扣→最后租金补贴；示例: (200-20)×0.95=176.4元；优惠明细分别展示两项优惠金额；无遗漏或重复计算；最终金额精确到分；与后台等级/优惠券配置一致</t>
  </si>
  <si>
    <t>支付合计176.4元；优惠明细分别展示两项优惠金额；无遗漏或重复计算；最终金额精确到分；与后台等级/优惠券配置一致</t>
  </si>
  <si>
    <t>CPN-CAL-008</t>
  </si>
  <si>
    <t>优惠券面额大于应付金额</t>
  </si>
  <si>
    <t>用户有满50减30优惠券，订单金额40元</t>
  </si>
  <si>
    <t>1. 用户进入下单页
2. 选择满50减30优惠券
3. 查看优惠券是否可用
4. 若可用查看最终金额
5. 若不可用查看提示</t>
  </si>
  <si>
    <t>订单金额40元&lt;门槛50元，优惠券不可用（灰显）；若门槛已满足但券面额&gt;应付金额，最终金额最低为0.01元（或按产品规则处理）；不允许负金额；提示文案清晰</t>
  </si>
  <si>
    <t>优惠劵不可显示（未达到要求的优惠劵不显示在支付优惠劵弹窗）</t>
  </si>
  <si>
    <t>CPN-CAL-009</t>
  </si>
  <si>
    <t>叠加后最终金额为0处理</t>
  </si>
  <si>
    <t>用户有满100减100优惠券，会员折扣9折，订单金额100元</t>
  </si>
  <si>
    <t>1. 用户进入下单页
2. 选择满100减100优惠券
3. 查看会员折扣自动应用
4. 查看最终金额
5. 提交订单</t>
  </si>
  <si>
    <t>满减后金额=0.01元；会员折扣不再应用（或按规则应用后仍为0.01）；最终金额不低于0.01元（或按产品规则允许0元）；系统不报错；订单可正常提交；支付页展示「应付0.01元」或「免费订单」</t>
  </si>
  <si>
    <t>最终金额正常，最小值0.01，不参与会员折扣</t>
  </si>
  <si>
    <t>CPN-CAL-010</t>
  </si>
  <si>
    <t>叠加计算精度与四舍五入</t>
  </si>
  <si>
    <t>用户有复杂折扣组合，计算结果出现多位小数(如9.5折+2%补贴)</t>
  </si>
  <si>
    <t>1. 配置导致小数结果的折扣组合
2. 用户进入下单页
3. 查看每一步计算的中间结果
4. 核对最终金额
5. 对比后台计算逻辑</t>
  </si>
  <si>
    <t>每一步中间计算保留足够精度(至少4位小数)；最终金额四舍五入到分(2位小数)；前端计算与后台计算结果一致；无精度丢失导致1分钱差异；订单金额、优惠金额、应付金额三者勾稽正确</t>
  </si>
  <si>
    <t>三分位之后的小数四舍五入，订单显示正确</t>
  </si>
  <si>
    <t>后台优惠券功能优化 - 退款回退(券返还逻辑)</t>
  </si>
  <si>
    <t>CPN-REF-001</t>
  </si>
  <si>
    <t>全额退款后优惠券返还</t>
  </si>
  <si>
    <t>用户使用了满100减20优惠券下单，订单金额150元，实付130元，订单未确认收货/未开始租赁</t>
  </si>
  <si>
    <t>1. 用户申请全额退款
2. 后台审核通过退款
3. 查看退款金额(130元)
4. 查看优惠券状态变化
5. 用户查看券包</t>
  </si>
  <si>
    <t>退款金额=实付金额130元全额退回；优惠券状态从「已使用」变为「可用」；返还的券有效期恢复为原有效期（或按规则延长）；券面额/门槛不变；用户券包中可再次看到该券</t>
  </si>
  <si>
    <t>回退付款金额并且返回优惠劵（过期了自动进去过期优惠劵页）</t>
  </si>
  <si>
    <t>CPN-REF-002</t>
  </si>
  <si>
    <t>部分退款后优惠券不返还</t>
  </si>
  <si>
    <t>用户使用了满100减20优惠券下单，订单金额150元，实付130元，申请部分退款(退50元商品)</t>
  </si>
  <si>
    <t>1. 用户申请部分退款
2. 后台审核通过
3. 查看退款金额
4. 查看优惠券状态
5. 查看券包</t>
  </si>
  <si>
    <t>退款金额按产品规则计算(如按比例退还实付金额)；优惠券不返还，状态保持「已使用」；退款后订单剩余金额重新计算；若剩余金额不满足券门槛，不退还差额；券不可再次使用</t>
  </si>
  <si>
    <t>部分退款后优惠券不返还；已使用除非交易失败，否则不退还优惠劵</t>
  </si>
  <si>
    <t>CPN-REF-003</t>
  </si>
  <si>
    <t>退款后返还券有效期恢复</t>
  </si>
  <si>
    <t>用户使用了有效期至2026-08-01的优惠券，2026-07-15下单，2026-07-20申请全额退款</t>
  </si>
  <si>
    <t>1. 用户申请全额退款
2. 审核通过后查看券返还
3. 核对返还券的有效期
4. 查看券是否仍在有效期内
5. 尝试再次使用该券</t>
  </si>
  <si>
    <t>返还的券有效期恢复为原配置有效期(至2026-08-01)；返还后券在有效期内可正常使用；若原有效期已过期则按过期处理；券返还后不影响其他已使用券的状态；返还记录可查</t>
  </si>
  <si>
    <t>对有效期优惠劵判断当前时间，时间未到仍然可以使用，到达使用期限或者过期时间优惠劵失效过期</t>
  </si>
  <si>
    <t>CPN-REF-004</t>
  </si>
  <si>
    <t>使用多张券的订单全额退款</t>
  </si>
  <si>
    <t>用户一单使用了2张优惠券(满100减20 + 满50减10)，订单金额200元，实付170元</t>
  </si>
  <si>
    <t>1. 用户申请全额退款
2. 后台审核通过
3. 查看退款金额
4. 查看两张优惠券状态
5. 查看券包</t>
  </si>
  <si>
    <t>一次只能使用一张优惠劵，无论品级业务有没有限制；用户一个订单只能使用一个优惠劵</t>
  </si>
  <si>
    <t>一次只能使用一张优惠劵，无论品级业务</t>
  </si>
  <si>
    <t>CPN-REF-005</t>
  </si>
  <si>
    <t>退款时券已过期处理</t>
  </si>
  <si>
    <t>用户2026-07-01使用有效期至2026-07-10的优惠券下单，2026-07-15(券已过期)申请全额退款</t>
  </si>
  <si>
    <t>1. 用户申请全额退款
2. 后台审核通过
3. 查看退款金额
4. 查看优惠券是否返还
5. 查看返还券状态</t>
  </si>
  <si>
    <t>退款金额=实付金额全额退回；优惠券返还但状态为「已过期」（因为原有效期已过）；已过期券不可再次使用；券包中该券展示在「已过期」Tab；返还记录中标注「返还时已过期」</t>
  </si>
  <si>
    <t>实付金额全额退款，优惠卷回退，状态未已过期（系统自动判断该优惠劵状态）；暂未考虑消息标注「返还时已过期」但会提示优惠劵到期提醒</t>
  </si>
  <si>
    <t>CPN-REF-006</t>
  </si>
  <si>
    <t>退款审核通过后券返还</t>
  </si>
  <si>
    <t>用户申请退款，进入审核流程</t>
  </si>
  <si>
    <t>1. 用户提交退款申请
2. 查看审核中优惠券状态
3. 后台审核通过
4. 查看审核通过后券状态
5. 查看审核驳回后券状态</t>
  </si>
  <si>
    <t>审核中优惠券状态保持「已使用」不变；审核通过后券返还并状态更新；审核驳回后券状态不变仍为「已使用」；审核结果通知用户（站内信/短信）；券返还与退款到账同步或异步按规则</t>
  </si>
  <si>
    <t>审核中优惠券状态保持「已使用」不变；审核通过后券返还并状态更新；审核驳回后券状态不变仍为「已使用」；审核结果通知用户；券返还与退款到账异步按规则</t>
  </si>
  <si>
    <t>CPN-REF-007</t>
  </si>
  <si>
    <t>退款驳回后券状态不变</t>
  </si>
  <si>
    <t>用户申请退款，后台审核驳回</t>
  </si>
  <si>
    <t>1. 用户提交退款申请
2. 等待审核结果
3. 查看驳回通知
4. 查看优惠券状态
5. 查看订单状态</t>
  </si>
  <si>
    <t>退款驳回后优惠券状态不变（仍为「已使用」）；订单状态恢复为正常进行；用户不可因退款驳回而重新获得可用券；驳回原因通知用户；可再次申请退款</t>
  </si>
  <si>
    <t>优惠劵仍然未已使用状态，可再次申请</t>
  </si>
  <si>
    <t>CPN-REF-008</t>
  </si>
  <si>
    <t>退款到账与券返还时间差</t>
  </si>
  <si>
    <t>用户申请全额退款，系统支持退款到账和券返还异步处理</t>
  </si>
  <si>
    <t>1. 用户申请退款
2. 审核通过后查看退款到账时间
3. 查看券返还时间
4. 核对两者时间差
5. 查看异步失败处理</t>
  </si>
  <si>
    <t>退款到账与券返还时间差在合理范围内(如≤5分钟)；若券返还失败系统告警并重试；用户端先展示退款成功，券返还稍有延迟；券返还失败不影响退款结果；客服可手动干预券返还</t>
  </si>
  <si>
    <t>交易取消全额退款同时优惠劵回退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</si>
</sst>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2937"/>
      <name val="微软雅黑"/>
      <charset val="1"/>
    </font>
    <font>
      <sz val="10"/>
      <name val="微软雅黑"/>
      <charset val="1"/>
    </font>
    <font>
      <b/>
      <sz val="10"/>
      <color rgb="FFEA580C"/>
      <name val="微软雅黑"/>
      <charset val="1"/>
    </font>
    <font>
      <b/>
      <sz val="10"/>
      <color rgb="FF00B050"/>
      <name val="微软雅黑"/>
      <charset val="1"/>
    </font>
    <font>
      <sz val="10"/>
      <color rgb="FF2563EB"/>
      <name val="微软雅黑"/>
      <charset val="1"/>
    </font>
    <font>
      <sz val="10"/>
      <color rgb="FF6B7280"/>
      <name val="微软雅黑"/>
      <charset val="1"/>
    </font>
    <font>
      <b/>
      <sz val="10"/>
      <color rgb="FFFF0000"/>
      <name val="微软雅黑"/>
      <charset val="1"/>
    </font>
    <font>
      <b/>
      <sz val="10"/>
      <color rgb="FFDC2626"/>
      <name val="微软雅黑"/>
      <charset val="1"/>
    </font>
    <font>
      <sz val="10"/>
      <color rgb="FF9CA3AF"/>
      <name val="微软雅黑"/>
      <charset val="1"/>
    </font>
    <font>
      <b/>
      <sz val="10"/>
      <color rgb="FFCA8A04"/>
      <name val="微软雅黑"/>
      <charset val="134"/>
    </font>
    <font>
      <b/>
      <sz val="11"/>
      <color rgb="FF1F2937"/>
      <name val="微软雅黑"/>
      <charset val="1"/>
    </font>
    <font>
      <b/>
      <sz val="11"/>
      <color rgb="FFDC2626"/>
      <name val="微软雅黑"/>
      <charset val="134"/>
    </font>
    <font>
      <b/>
      <sz val="10"/>
      <color rgb="FFFFFFFF"/>
      <name val="微软雅黑"/>
      <charset val="134"/>
    </font>
    <font>
      <sz val="10"/>
      <color rgb="FF1F2937"/>
      <name val="微软雅黑"/>
      <charset val="134"/>
    </font>
    <font>
      <b/>
      <sz val="10"/>
      <color rgb="FFDC2626"/>
      <name val="微软雅黑"/>
      <charset val="134"/>
    </font>
    <font>
      <b/>
      <sz val="10"/>
      <color rgb="FFEA580C"/>
      <name val="微软雅黑"/>
      <charset val="134"/>
    </font>
    <font>
      <sz val="10"/>
      <color rgb="FF2563EB"/>
      <name val="微软雅黑"/>
      <charset val="134"/>
    </font>
    <font>
      <b/>
      <sz val="11"/>
      <color rgb="FFCA8A04"/>
      <name val="微软雅黑"/>
      <charset val="134"/>
    </font>
    <font>
      <sz val="10"/>
      <color rgb="FF9CA3AF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FE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/>
    <xf numFmtId="44" fontId="22" fillId="0" borderId="0"/>
    <xf numFmtId="9" fontId="22" fillId="0" borderId="0"/>
    <xf numFmtId="41" fontId="22" fillId="0" borderId="0"/>
    <xf numFmtId="42" fontId="22" fillId="0" borderId="0"/>
    <xf numFmtId="0" fontId="23" fillId="0" borderId="0">
      <alignment vertical="center"/>
    </xf>
    <xf numFmtId="0" fontId="24" fillId="0" borderId="0">
      <alignment vertical="center"/>
    </xf>
    <xf numFmtId="0" fontId="25" fillId="11" borderId="4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5">
      <alignment vertical="center"/>
    </xf>
    <xf numFmtId="0" fontId="30" fillId="0" borderId="5">
      <alignment vertical="center"/>
    </xf>
    <xf numFmtId="0" fontId="31" fillId="0" borderId="6">
      <alignment vertical="center"/>
    </xf>
    <xf numFmtId="0" fontId="31" fillId="0" borderId="0">
      <alignment vertical="center"/>
    </xf>
    <xf numFmtId="0" fontId="32" fillId="12" borderId="7">
      <alignment vertical="center"/>
    </xf>
    <xf numFmtId="0" fontId="33" fillId="13" borderId="8">
      <alignment vertical="center"/>
    </xf>
    <xf numFmtId="0" fontId="34" fillId="13" borderId="7">
      <alignment vertical="center"/>
    </xf>
    <xf numFmtId="0" fontId="35" fillId="14" borderId="9">
      <alignment vertical="center"/>
    </xf>
    <xf numFmtId="0" fontId="36" fillId="0" borderId="10">
      <alignment vertical="center"/>
    </xf>
    <xf numFmtId="0" fontId="37" fillId="0" borderId="11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1" fillId="33" borderId="0">
      <alignment vertical="center"/>
    </xf>
    <xf numFmtId="0" fontId="41" fillId="34" borderId="0">
      <alignment vertical="center"/>
    </xf>
    <xf numFmtId="0" fontId="42" fillId="35" borderId="0">
      <alignment vertical="center"/>
    </xf>
    <xf numFmtId="0" fontId="42" fillId="36" borderId="0">
      <alignment vertical="center"/>
    </xf>
    <xf numFmtId="0" fontId="41" fillId="37" borderId="0">
      <alignment vertical="center"/>
    </xf>
    <xf numFmtId="0" fontId="41" fillId="38" borderId="0">
      <alignment vertical="center"/>
    </xf>
    <xf numFmtId="0" fontId="42" fillId="39" borderId="0">
      <alignment vertical="center"/>
    </xf>
    <xf numFmtId="0" fontId="42" fillId="40" borderId="0">
      <alignment vertical="center"/>
    </xf>
    <xf numFmtId="0" fontId="41" fillId="41" borderId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1" fillId="0" borderId="1" xfId="0" applyFont="1" applyBorder="1"/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top" wrapText="1"/>
    </xf>
    <xf numFmtId="0" fontId="17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/>
    <xf numFmtId="0" fontId="1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EAF2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EA580C"/>
      <rgbColor rgb="006B7280"/>
      <rgbColor rgb="009CA3AF"/>
      <rgbColor rgb="00003366"/>
      <rgbColor rgb="00339966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opLeftCell="A27" workbookViewId="0">
      <selection activeCell="F42" sqref="F42"/>
    </sheetView>
  </sheetViews>
  <sheetFormatPr defaultColWidth="7.89166666666667" defaultRowHeight="18" outlineLevelCol="6"/>
  <cols>
    <col min="1" max="1" width="22" customWidth="1"/>
    <col min="2" max="2" width="28" customWidth="1"/>
    <col min="3" max="3" width="10" customWidth="1"/>
    <col min="4" max="4" width="28" customWidth="1"/>
    <col min="5" max="5" width="42" customWidth="1"/>
    <col min="6" max="7" width="28" customWidth="1"/>
  </cols>
  <sheetData>
    <row r="1" ht="21" customHeight="1" spans="1:7">
      <c r="A1" s="1" t="s">
        <v>0</v>
      </c>
    </row>
    <row r="3" spans="1:7">
      <c r="A3" s="22" t="s">
        <v>1</v>
      </c>
    </row>
    <row r="4" ht="26.85" customHeight="1" spans="1:7">
      <c r="A4" s="23" t="s">
        <v>2</v>
      </c>
      <c r="B4" s="24" t="s">
        <v>3</v>
      </c>
      <c r="C4" s="25"/>
      <c r="D4" s="25"/>
      <c r="E4" s="25"/>
      <c r="F4" s="25"/>
      <c r="G4" s="26"/>
    </row>
    <row r="5" ht="15" customHeight="1" spans="1:7">
      <c r="A5" s="27" t="s">
        <v>4</v>
      </c>
      <c r="B5" s="24" t="s">
        <v>5</v>
      </c>
      <c r="C5" s="25"/>
      <c r="D5" s="25"/>
      <c r="E5" s="25"/>
      <c r="F5" s="25"/>
      <c r="G5" s="26"/>
    </row>
    <row r="6" ht="15" customHeight="1" spans="1:7">
      <c r="A6" s="28" t="s">
        <v>6</v>
      </c>
      <c r="B6" s="24" t="s">
        <v>7</v>
      </c>
      <c r="C6" s="25"/>
      <c r="D6" s="25"/>
      <c r="E6" s="25"/>
      <c r="F6" s="25"/>
      <c r="G6" s="26"/>
    </row>
    <row r="7" ht="15" customHeight="1" spans="1:7">
      <c r="A7" s="29" t="s">
        <v>8</v>
      </c>
      <c r="B7" s="24" t="s">
        <v>9</v>
      </c>
      <c r="C7" s="25"/>
      <c r="D7" s="25"/>
      <c r="E7" s="25"/>
      <c r="F7" s="25"/>
      <c r="G7" s="26"/>
    </row>
    <row r="8" ht="15" customHeight="1" spans="1:7">
      <c r="A8" s="30" t="s">
        <v>10</v>
      </c>
      <c r="B8" s="24" t="s">
        <v>11</v>
      </c>
      <c r="C8" s="25"/>
      <c r="D8" s="25"/>
      <c r="E8" s="25"/>
      <c r="F8" s="25"/>
      <c r="G8" s="26"/>
    </row>
    <row r="10" spans="1:7">
      <c r="A10" s="22" t="s">
        <v>12</v>
      </c>
    </row>
    <row r="11" spans="1:7">
      <c r="A11" s="31" t="s">
        <v>13</v>
      </c>
    </row>
    <row r="12" spans="1:7">
      <c r="A12" s="31" t="s">
        <v>14</v>
      </c>
    </row>
    <row r="13" spans="1:7">
      <c r="A13" s="31" t="s">
        <v>15</v>
      </c>
    </row>
    <row r="14" spans="1:7">
      <c r="A14" s="31" t="s">
        <v>16</v>
      </c>
    </row>
    <row r="16" spans="1:7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23</v>
      </c>
    </row>
    <row r="17" spans="1:7">
      <c r="A17" s="4" t="s">
        <v>24</v>
      </c>
      <c r="B17" s="32">
        <f>COUNTA(优惠券列表与筛选!A3:A200)</f>
        <v>19</v>
      </c>
      <c r="C17" s="32">
        <f>COUNTIF(优惠券列表与筛选!C3:C200,"P0")</f>
        <v>1</v>
      </c>
      <c r="D17" s="32">
        <f>COUNTIF(优惠券列表与筛选!C3:C200,"P1")</f>
        <v>1</v>
      </c>
      <c r="E17" s="32">
        <f>COUNTIF(优惠券列表与筛选!C3:C200,"P2")</f>
        <v>10</v>
      </c>
      <c r="F17" s="32">
        <f>COUNTIF(优惠券列表与筛选!C3:C200,"P3")</f>
        <v>5</v>
      </c>
      <c r="G17" s="32">
        <f>COUNTIF(优惠券列表与筛选!C3:C200,"P4")</f>
        <v>2</v>
      </c>
    </row>
    <row r="18" spans="1:7">
      <c r="A18" s="8" t="s">
        <v>25</v>
      </c>
      <c r="B18" s="33">
        <f>COUNTA(新建与编辑优惠券!A3:A200)</f>
        <v>28</v>
      </c>
      <c r="C18" s="33">
        <f>COUNTIF(新建与编辑优惠券!C3:C200,"P0")</f>
        <v>5</v>
      </c>
      <c r="D18" s="33">
        <f>COUNTIF(新建与编辑优惠券!C3:C200,"P1")</f>
        <v>11</v>
      </c>
      <c r="E18" s="33">
        <f>COUNTIF(新建与编辑优惠券!C3:C200,"P2")</f>
        <v>10</v>
      </c>
      <c r="F18" s="33">
        <f>COUNTIF(新建与编辑优惠券!C3:C200,"P3")</f>
        <v>1</v>
      </c>
      <c r="G18" s="33">
        <f>COUNTIF(新建与编辑优惠券!C3:C200,"P4")</f>
        <v>1</v>
      </c>
    </row>
    <row r="19" spans="1:7">
      <c r="A19" s="4" t="s">
        <v>26</v>
      </c>
      <c r="B19" s="32">
        <f>COUNTA(状态流转与操作!A3:A200)</f>
        <v>9</v>
      </c>
      <c r="C19" s="32">
        <f>COUNTIF(状态流转与操作!C3:C200,"P0")</f>
        <v>5</v>
      </c>
      <c r="D19" s="32">
        <f>COUNTIF(状态流转与操作!C3:C200,"P1")</f>
        <v>2</v>
      </c>
      <c r="E19" s="32">
        <f>COUNTIF(状态流转与操作!C3:C200,"P2")</f>
        <v>2</v>
      </c>
      <c r="F19" s="32">
        <f>COUNTIF(状态流转与操作!C3:C200,"P3")</f>
        <v>0</v>
      </c>
      <c r="G19" s="32">
        <f>COUNTIF(状态流转与操作!C3:C200,"P4")</f>
        <v>0</v>
      </c>
    </row>
    <row r="20" spans="1:7">
      <c r="A20" s="8" t="s">
        <v>27</v>
      </c>
      <c r="B20" s="33">
        <f>COUNTA(异常场景与边界测试!A3:A200)</f>
        <v>13</v>
      </c>
      <c r="C20" s="33">
        <f>COUNTIF(异常场景与边界测试!C3:C200,"P0")</f>
        <v>1</v>
      </c>
      <c r="D20" s="33">
        <f>COUNTIF(异常场景与边界测试!C3:C200,"P1")</f>
        <v>5</v>
      </c>
      <c r="E20" s="33">
        <f>COUNTIF(异常场景与边界测试!C3:C200,"P2")</f>
        <v>3</v>
      </c>
      <c r="F20" s="33">
        <f>COUNTIF(异常场景与边界测试!C3:C200,"P3")</f>
        <v>3</v>
      </c>
      <c r="G20" s="33">
        <f>COUNTIF(异常场景与边界测试!C3:C200,"P4")</f>
        <v>1</v>
      </c>
    </row>
    <row r="21" spans="1:7">
      <c r="A21" s="4" t="s">
        <v>28</v>
      </c>
      <c r="B21" s="32">
        <f>COUNTA(H5端前端可见性!A3:A200)</f>
        <v>10</v>
      </c>
      <c r="C21" s="32">
        <f>COUNTIF(H5端前端可见性!C3:C200,"P0")</f>
        <v>0</v>
      </c>
      <c r="D21" s="32">
        <f>COUNTIF(H5端前端可见性!C3:C200,"P1")</f>
        <v>2</v>
      </c>
      <c r="E21" s="32">
        <f>COUNTIF(H5端前端可见性!C3:C200,"P2")</f>
        <v>6</v>
      </c>
      <c r="F21" s="32">
        <f>COUNTIF(H5端前端可见性!C3:C200,"P3")</f>
        <v>2</v>
      </c>
      <c r="G21" s="32">
        <f>COUNTIF(H5端前端可见性!C3:C200,"P4")</f>
        <v>0</v>
      </c>
    </row>
    <row r="22" spans="1:7">
      <c r="A22" s="8" t="s">
        <v>29</v>
      </c>
      <c r="B22" s="33">
        <f>COUNTA(叠加计算!A3:A200)</f>
        <v>10</v>
      </c>
      <c r="C22" s="33">
        <f>COUNTIF(叠加计算!C3:C200,"P0")</f>
        <v>0</v>
      </c>
      <c r="D22" s="33">
        <f>COUNTIF(叠加计算!C3:C200,"P1")</f>
        <v>5</v>
      </c>
      <c r="E22" s="33">
        <f>COUNTIF(叠加计算!C3:C200,"P2")</f>
        <v>5</v>
      </c>
      <c r="F22" s="33">
        <f>COUNTIF(叠加计算!C3:C200,"P3")</f>
        <v>0</v>
      </c>
      <c r="G22" s="33">
        <f>COUNTIF(叠加计算!C3:C200,"P4")</f>
        <v>0</v>
      </c>
    </row>
    <row r="23" spans="1:7">
      <c r="A23" s="4" t="s">
        <v>30</v>
      </c>
      <c r="B23" s="32">
        <f>COUNTA(退款回退!A3:A200)</f>
        <v>8</v>
      </c>
      <c r="C23" s="32">
        <f>COUNTIF(退款回退!C3:C200,"P0")</f>
        <v>0</v>
      </c>
      <c r="D23" s="32">
        <f>COUNTIF(退款回退!C3:C200,"P1")</f>
        <v>3</v>
      </c>
      <c r="E23" s="32">
        <f>COUNTIF(退款回退!C3:C200,"P2")</f>
        <v>4</v>
      </c>
      <c r="F23" s="32">
        <f>COUNTIF(退款回退!C3:C200,"P3")</f>
        <v>1</v>
      </c>
      <c r="G23" s="32">
        <f>COUNTIF(退款回退!C3:C200,"P4")</f>
        <v>0</v>
      </c>
    </row>
    <row r="24" spans="1:7">
      <c r="A24" s="34" t="s">
        <v>31</v>
      </c>
      <c r="B24" s="34">
        <f t="shared" ref="B24:G24" si="0">SUM(B17:B23)</f>
        <v>97</v>
      </c>
      <c r="C24" s="34">
        <f t="shared" si="0"/>
        <v>12</v>
      </c>
      <c r="D24" s="34">
        <f t="shared" si="0"/>
        <v>29</v>
      </c>
      <c r="E24" s="34">
        <f t="shared" si="0"/>
        <v>40</v>
      </c>
      <c r="F24" s="34">
        <f t="shared" si="0"/>
        <v>12</v>
      </c>
      <c r="G24" s="34">
        <f t="shared" si="0"/>
        <v>4</v>
      </c>
    </row>
    <row r="26" spans="1:7">
      <c r="A26" s="22" t="s">
        <v>32</v>
      </c>
      <c r="B26" s="35" t="str">
        <f>CONCATENATE("P1占比 ",TEXT(D24/B24,"0.0%")," (",D24,"/",B24,")")</f>
        <v>P1占比 29.9% (29/97)</v>
      </c>
    </row>
    <row r="28" spans="1:7">
      <c r="A28" s="36" t="s">
        <v>33</v>
      </c>
      <c r="B28" s="36"/>
      <c r="C28" s="36"/>
      <c r="D28" s="36"/>
      <c r="E28" s="36"/>
    </row>
    <row r="29" spans="1:7">
      <c r="A29" s="37" t="s">
        <v>34</v>
      </c>
      <c r="B29" s="37" t="s">
        <v>35</v>
      </c>
      <c r="C29" s="37" t="s">
        <v>36</v>
      </c>
      <c r="D29" s="37" t="s">
        <v>37</v>
      </c>
      <c r="E29" s="37" t="s">
        <v>38</v>
      </c>
    </row>
    <row r="30" ht="28" customHeight="1" spans="1:7">
      <c r="A30" s="38" t="s">
        <v>39</v>
      </c>
      <c r="B30" s="38" t="s">
        <v>27</v>
      </c>
      <c r="C30" s="39" t="s">
        <v>19</v>
      </c>
      <c r="D30" s="38" t="s">
        <v>40</v>
      </c>
      <c r="E30" s="40" t="s">
        <v>41</v>
      </c>
    </row>
    <row r="31" ht="28" customHeight="1" spans="1:7">
      <c r="A31" s="41" t="s">
        <v>42</v>
      </c>
      <c r="B31" s="41" t="s">
        <v>25</v>
      </c>
      <c r="C31" s="42" t="s">
        <v>20</v>
      </c>
      <c r="D31" s="41" t="s">
        <v>43</v>
      </c>
      <c r="E31" s="43" t="s">
        <v>44</v>
      </c>
    </row>
    <row r="32" ht="28" customHeight="1" spans="1:7">
      <c r="A32" s="38" t="s">
        <v>45</v>
      </c>
      <c r="B32" s="38" t="s">
        <v>27</v>
      </c>
      <c r="C32" s="44" t="s">
        <v>20</v>
      </c>
      <c r="D32" s="38" t="s">
        <v>46</v>
      </c>
      <c r="E32" s="40" t="s">
        <v>47</v>
      </c>
    </row>
    <row r="33" ht="28" customHeight="1" spans="1:6">
      <c r="A33" s="41" t="s">
        <v>48</v>
      </c>
      <c r="B33" s="41" t="s">
        <v>24</v>
      </c>
      <c r="C33" s="45" t="s">
        <v>21</v>
      </c>
      <c r="D33" s="41" t="s">
        <v>49</v>
      </c>
      <c r="E33" s="43" t="s">
        <v>50</v>
      </c>
    </row>
    <row r="34" ht="28" customHeight="1" spans="1:6">
      <c r="A34" s="38" t="s">
        <v>51</v>
      </c>
      <c r="B34" s="38" t="s">
        <v>24</v>
      </c>
      <c r="C34" s="46" t="s">
        <v>21</v>
      </c>
      <c r="D34" s="38" t="s">
        <v>52</v>
      </c>
      <c r="E34" s="40" t="s">
        <v>53</v>
      </c>
    </row>
    <row r="35" ht="28" customHeight="1" spans="1:6">
      <c r="A35" s="41" t="s">
        <v>54</v>
      </c>
      <c r="B35" s="41" t="s">
        <v>25</v>
      </c>
      <c r="C35" s="45" t="s">
        <v>21</v>
      </c>
      <c r="D35" s="41" t="s">
        <v>55</v>
      </c>
      <c r="E35" s="43" t="s">
        <v>56</v>
      </c>
    </row>
    <row r="37" spans="1:6">
      <c r="A37" s="47" t="s">
        <v>57</v>
      </c>
      <c r="B37" s="47"/>
      <c r="C37" s="47"/>
      <c r="D37" s="47"/>
      <c r="E37" s="47"/>
    </row>
    <row r="38" spans="1:6">
      <c r="A38" s="37" t="s">
        <v>34</v>
      </c>
      <c r="B38" s="37" t="s">
        <v>35</v>
      </c>
      <c r="C38" s="37" t="s">
        <v>36</v>
      </c>
      <c r="D38" s="37" t="s">
        <v>37</v>
      </c>
      <c r="E38" s="37" t="s">
        <v>58</v>
      </c>
    </row>
    <row r="39" ht="28" customHeight="1" spans="1:6">
      <c r="A39" s="38" t="s">
        <v>59</v>
      </c>
      <c r="B39" s="38" t="s">
        <v>24</v>
      </c>
      <c r="C39" s="39" t="s">
        <v>19</v>
      </c>
      <c r="D39" s="38" t="s">
        <v>60</v>
      </c>
      <c r="E39" s="48" t="s">
        <v>61</v>
      </c>
    </row>
    <row r="40" ht="28" customHeight="1" spans="1:6">
      <c r="A40" s="41" t="s">
        <v>62</v>
      </c>
      <c r="B40" s="41" t="s">
        <v>25</v>
      </c>
      <c r="C40" s="49" t="s">
        <v>19</v>
      </c>
      <c r="D40" s="41" t="s">
        <v>63</v>
      </c>
      <c r="E40" s="50" t="s">
        <v>64</v>
      </c>
    </row>
    <row r="41" ht="28" customHeight="1" spans="1:6">
      <c r="A41" s="38" t="s">
        <v>65</v>
      </c>
      <c r="B41" s="38" t="s">
        <v>25</v>
      </c>
      <c r="C41" s="44" t="s">
        <v>20</v>
      </c>
      <c r="D41" s="38" t="s">
        <v>66</v>
      </c>
      <c r="E41" s="48" t="s">
        <v>67</v>
      </c>
    </row>
    <row r="42" ht="28" customHeight="1" spans="1:6">
      <c r="A42" s="41" t="s">
        <v>68</v>
      </c>
      <c r="B42" s="41" t="s">
        <v>24</v>
      </c>
      <c r="C42" s="51" t="s">
        <v>23</v>
      </c>
      <c r="D42" s="41" t="s">
        <v>69</v>
      </c>
      <c r="E42" s="50" t="s">
        <v>70</v>
      </c>
    </row>
    <row r="43" spans="1:6">
      <c r="A43" s="52" t="s">
        <v>71</v>
      </c>
      <c r="B43" s="53"/>
      <c r="C43" s="54" t="s">
        <v>72</v>
      </c>
      <c r="D43" s="53"/>
      <c r="E43" s="53"/>
      <c r="F43" t="s">
        <v>73</v>
      </c>
    </row>
  </sheetData>
  <mergeCells count="15">
    <mergeCell ref="A1:G1"/>
    <mergeCell ref="B4:G4"/>
    <mergeCell ref="B5:G5"/>
    <mergeCell ref="B6:G6"/>
    <mergeCell ref="B7:G7"/>
    <mergeCell ref="B8:G8"/>
    <mergeCell ref="A11:G11"/>
    <mergeCell ref="A12:G12"/>
    <mergeCell ref="A13:G13"/>
    <mergeCell ref="A14:G14"/>
    <mergeCell ref="B26:G26"/>
    <mergeCell ref="A28:E28"/>
    <mergeCell ref="A37:E37"/>
    <mergeCell ref="A43:B43"/>
    <mergeCell ref="C43:E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2" topLeftCell="A17" activePane="bottomLeft" state="frozen"/>
      <selection/>
      <selection pane="bottomLeft" activeCell="I5" sqref="I5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customHeight="1" spans="1:9">
      <c r="A1" s="1" t="s">
        <v>74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81</v>
      </c>
      <c r="B3" s="4" t="s">
        <v>82</v>
      </c>
      <c r="C3" s="5" t="s">
        <v>20</v>
      </c>
      <c r="D3" s="4" t="s">
        <v>83</v>
      </c>
      <c r="E3" s="4" t="s">
        <v>84</v>
      </c>
      <c r="F3" s="4" t="s">
        <v>85</v>
      </c>
      <c r="G3" s="4" t="s">
        <v>86</v>
      </c>
      <c r="H3" s="4" t="s">
        <v>87</v>
      </c>
      <c r="I3" s="6" t="s">
        <v>88</v>
      </c>
    </row>
    <row r="4" ht="94.5" customHeight="1" spans="1:9">
      <c r="A4" s="7" t="s">
        <v>89</v>
      </c>
      <c r="B4" s="8" t="s">
        <v>90</v>
      </c>
      <c r="C4" s="13" t="s">
        <v>22</v>
      </c>
      <c r="D4" s="8" t="s">
        <v>83</v>
      </c>
      <c r="E4" s="8" t="s">
        <v>91</v>
      </c>
      <c r="F4" s="8" t="s">
        <v>92</v>
      </c>
      <c r="G4" s="8" t="s">
        <v>93</v>
      </c>
      <c r="H4" s="8" t="s">
        <v>87</v>
      </c>
      <c r="I4" s="10" t="s">
        <v>88</v>
      </c>
    </row>
    <row r="5" ht="94.5" customHeight="1" spans="1:9">
      <c r="A5" s="3" t="s">
        <v>59</v>
      </c>
      <c r="B5" s="4" t="s">
        <v>60</v>
      </c>
      <c r="C5" s="18" t="s">
        <v>19</v>
      </c>
      <c r="D5" s="4" t="s">
        <v>83</v>
      </c>
      <c r="E5" s="4" t="s">
        <v>94</v>
      </c>
      <c r="F5" s="4" t="s">
        <v>95</v>
      </c>
      <c r="G5" s="4" t="s">
        <v>96</v>
      </c>
      <c r="H5" s="4" t="s">
        <v>61</v>
      </c>
      <c r="I5" s="20" t="s">
        <v>97</v>
      </c>
    </row>
    <row r="6" ht="94.5" customHeight="1" spans="1:9">
      <c r="A6" s="7" t="s">
        <v>48</v>
      </c>
      <c r="B6" s="8" t="s">
        <v>49</v>
      </c>
      <c r="C6" s="9" t="s">
        <v>21</v>
      </c>
      <c r="D6" s="8" t="s">
        <v>83</v>
      </c>
      <c r="E6" s="8" t="s">
        <v>98</v>
      </c>
      <c r="F6" s="8" t="s">
        <v>99</v>
      </c>
      <c r="G6" s="8" t="s">
        <v>100</v>
      </c>
      <c r="H6" s="8" t="s">
        <v>50</v>
      </c>
      <c r="I6" s="15" t="s">
        <v>101</v>
      </c>
    </row>
    <row r="7" ht="94.5" customHeight="1" spans="1:9">
      <c r="A7" s="3" t="s">
        <v>102</v>
      </c>
      <c r="B7" s="4" t="s">
        <v>103</v>
      </c>
      <c r="C7" s="11" t="s">
        <v>21</v>
      </c>
      <c r="D7" s="4" t="s">
        <v>83</v>
      </c>
      <c r="E7" s="4" t="s">
        <v>104</v>
      </c>
      <c r="F7" s="4" t="s">
        <v>105</v>
      </c>
      <c r="G7" s="4" t="s">
        <v>106</v>
      </c>
      <c r="H7" s="4" t="s">
        <v>87</v>
      </c>
      <c r="I7" s="6" t="s">
        <v>88</v>
      </c>
    </row>
    <row r="8" ht="94.5" customHeight="1" spans="1:9">
      <c r="A8" s="7" t="s">
        <v>107</v>
      </c>
      <c r="B8" s="8" t="s">
        <v>108</v>
      </c>
      <c r="C8" s="9" t="s">
        <v>21</v>
      </c>
      <c r="D8" s="8" t="s">
        <v>83</v>
      </c>
      <c r="E8" s="8" t="s">
        <v>109</v>
      </c>
      <c r="F8" s="8" t="s">
        <v>110</v>
      </c>
      <c r="G8" s="8" t="s">
        <v>111</v>
      </c>
      <c r="H8" s="8" t="s">
        <v>87</v>
      </c>
      <c r="I8" s="10" t="s">
        <v>88</v>
      </c>
    </row>
    <row r="9" ht="94.5" customHeight="1" spans="1:9">
      <c r="A9" s="3" t="s">
        <v>112</v>
      </c>
      <c r="B9" s="4" t="s">
        <v>113</v>
      </c>
      <c r="C9" s="11" t="s">
        <v>21</v>
      </c>
      <c r="D9" s="4" t="s">
        <v>83</v>
      </c>
      <c r="E9" s="4" t="s">
        <v>114</v>
      </c>
      <c r="F9" s="4" t="s">
        <v>115</v>
      </c>
      <c r="G9" s="4" t="s">
        <v>116</v>
      </c>
      <c r="H9" s="4" t="s">
        <v>117</v>
      </c>
      <c r="I9" s="6" t="s">
        <v>88</v>
      </c>
    </row>
    <row r="10" ht="94.5" customHeight="1" spans="1:9">
      <c r="A10" s="7" t="s">
        <v>51</v>
      </c>
      <c r="B10" s="8" t="s">
        <v>52</v>
      </c>
      <c r="C10" s="9" t="s">
        <v>21</v>
      </c>
      <c r="D10" s="8" t="s">
        <v>83</v>
      </c>
      <c r="E10" s="8" t="s">
        <v>118</v>
      </c>
      <c r="F10" s="8" t="s">
        <v>119</v>
      </c>
      <c r="G10" s="8" t="s">
        <v>120</v>
      </c>
      <c r="H10" s="8" t="s">
        <v>53</v>
      </c>
      <c r="I10" s="15" t="s">
        <v>101</v>
      </c>
    </row>
    <row r="11" ht="94.5" customHeight="1" spans="1:9">
      <c r="A11" s="3" t="s">
        <v>121</v>
      </c>
      <c r="B11" s="4" t="s">
        <v>122</v>
      </c>
      <c r="C11" s="14" t="s">
        <v>22</v>
      </c>
      <c r="D11" s="4" t="s">
        <v>83</v>
      </c>
      <c r="E11" s="4" t="s">
        <v>123</v>
      </c>
      <c r="F11" s="4" t="s">
        <v>124</v>
      </c>
      <c r="G11" s="4" t="s">
        <v>125</v>
      </c>
      <c r="H11" s="4" t="s">
        <v>87</v>
      </c>
      <c r="I11" s="6" t="s">
        <v>88</v>
      </c>
    </row>
    <row r="12" ht="94.5" customHeight="1" spans="1:9">
      <c r="A12" s="7" t="s">
        <v>126</v>
      </c>
      <c r="B12" s="8" t="s">
        <v>127</v>
      </c>
      <c r="C12" s="21" t="s">
        <v>23</v>
      </c>
      <c r="D12" s="8" t="s">
        <v>83</v>
      </c>
      <c r="E12" s="8" t="s">
        <v>128</v>
      </c>
      <c r="F12" s="8" t="s">
        <v>129</v>
      </c>
      <c r="G12" s="8" t="s">
        <v>130</v>
      </c>
      <c r="H12" s="8" t="s">
        <v>117</v>
      </c>
      <c r="I12" s="10" t="s">
        <v>88</v>
      </c>
    </row>
    <row r="13" ht="94.5" customHeight="1" spans="1:9">
      <c r="A13" s="3" t="s">
        <v>131</v>
      </c>
      <c r="B13" s="4" t="s">
        <v>132</v>
      </c>
      <c r="C13" s="14" t="s">
        <v>22</v>
      </c>
      <c r="D13" s="4" t="s">
        <v>83</v>
      </c>
      <c r="E13" s="4" t="s">
        <v>133</v>
      </c>
      <c r="F13" s="4" t="s">
        <v>134</v>
      </c>
      <c r="G13" s="4" t="s">
        <v>135</v>
      </c>
      <c r="H13" s="4" t="s">
        <v>136</v>
      </c>
      <c r="I13" s="6" t="s">
        <v>88</v>
      </c>
    </row>
    <row r="14" ht="94.5" customHeight="1" spans="1:9">
      <c r="A14" s="7" t="s">
        <v>68</v>
      </c>
      <c r="B14" s="8" t="s">
        <v>69</v>
      </c>
      <c r="C14" s="21" t="s">
        <v>23</v>
      </c>
      <c r="D14" s="8" t="s">
        <v>83</v>
      </c>
      <c r="E14" s="8" t="s">
        <v>137</v>
      </c>
      <c r="F14" s="8" t="s">
        <v>138</v>
      </c>
      <c r="G14" s="8" t="s">
        <v>139</v>
      </c>
      <c r="H14" s="8" t="s">
        <v>70</v>
      </c>
      <c r="I14" s="19" t="s">
        <v>97</v>
      </c>
    </row>
    <row r="15" ht="94.5" customHeight="1" spans="1:9">
      <c r="A15" s="3" t="s">
        <v>140</v>
      </c>
      <c r="B15" s="4" t="s">
        <v>141</v>
      </c>
      <c r="C15" s="11" t="s">
        <v>21</v>
      </c>
      <c r="D15" s="4" t="s">
        <v>83</v>
      </c>
      <c r="E15" s="4" t="s">
        <v>142</v>
      </c>
      <c r="F15" s="4" t="s">
        <v>143</v>
      </c>
      <c r="G15" s="4" t="s">
        <v>144</v>
      </c>
      <c r="H15" s="4" t="s">
        <v>87</v>
      </c>
      <c r="I15" s="6" t="s">
        <v>88</v>
      </c>
    </row>
    <row r="16" ht="94.5" customHeight="1" spans="1:9">
      <c r="A16" s="7" t="s">
        <v>145</v>
      </c>
      <c r="B16" s="8" t="s">
        <v>146</v>
      </c>
      <c r="C16" s="9" t="s">
        <v>21</v>
      </c>
      <c r="D16" s="8" t="s">
        <v>83</v>
      </c>
      <c r="E16" s="8" t="s">
        <v>147</v>
      </c>
      <c r="F16" s="8" t="s">
        <v>148</v>
      </c>
      <c r="G16" s="8" t="s">
        <v>149</v>
      </c>
      <c r="H16" s="8" t="s">
        <v>150</v>
      </c>
      <c r="I16" s="10" t="s">
        <v>88</v>
      </c>
    </row>
    <row r="17" ht="94.5" customHeight="1" spans="1:9">
      <c r="A17" s="3" t="s">
        <v>151</v>
      </c>
      <c r="B17" s="4" t="s">
        <v>152</v>
      </c>
      <c r="C17" s="14" t="s">
        <v>22</v>
      </c>
      <c r="D17" s="4" t="s">
        <v>83</v>
      </c>
      <c r="E17" s="4" t="s">
        <v>153</v>
      </c>
      <c r="F17" s="4" t="s">
        <v>154</v>
      </c>
      <c r="G17" s="4" t="s">
        <v>155</v>
      </c>
      <c r="H17" s="4" t="s">
        <v>156</v>
      </c>
      <c r="I17" s="6" t="s">
        <v>88</v>
      </c>
    </row>
    <row r="18" ht="94.5" customHeight="1" spans="1:9">
      <c r="A18" s="7" t="s">
        <v>157</v>
      </c>
      <c r="B18" s="8" t="s">
        <v>158</v>
      </c>
      <c r="C18" s="13" t="s">
        <v>22</v>
      </c>
      <c r="D18" s="8" t="s">
        <v>83</v>
      </c>
      <c r="E18" s="8" t="s">
        <v>159</v>
      </c>
      <c r="F18" s="8" t="s">
        <v>160</v>
      </c>
      <c r="G18" s="8" t="s">
        <v>161</v>
      </c>
      <c r="H18" s="8" t="s">
        <v>162</v>
      </c>
      <c r="I18" s="10" t="s">
        <v>88</v>
      </c>
    </row>
    <row r="19" ht="94.5" customHeight="1" spans="1:9">
      <c r="A19" s="3" t="s">
        <v>163</v>
      </c>
      <c r="B19" s="4" t="s">
        <v>164</v>
      </c>
      <c r="C19" s="11" t="s">
        <v>21</v>
      </c>
      <c r="D19" s="4" t="s">
        <v>83</v>
      </c>
      <c r="E19" s="4" t="s">
        <v>165</v>
      </c>
      <c r="F19" s="4" t="s">
        <v>166</v>
      </c>
      <c r="G19" s="4" t="s">
        <v>167</v>
      </c>
      <c r="H19" s="4" t="s">
        <v>168</v>
      </c>
      <c r="I19" s="6" t="s">
        <v>88</v>
      </c>
    </row>
    <row r="20" ht="94.5" customHeight="1" spans="1:9">
      <c r="A20" s="7" t="s">
        <v>169</v>
      </c>
      <c r="B20" s="8" t="s">
        <v>170</v>
      </c>
      <c r="C20" s="9" t="s">
        <v>21</v>
      </c>
      <c r="D20" s="8" t="s">
        <v>83</v>
      </c>
      <c r="E20" s="8" t="s">
        <v>171</v>
      </c>
      <c r="F20" s="8" t="s">
        <v>172</v>
      </c>
      <c r="G20" s="8" t="s">
        <v>173</v>
      </c>
      <c r="H20" s="8" t="s">
        <v>174</v>
      </c>
      <c r="I20" s="10" t="s">
        <v>88</v>
      </c>
    </row>
    <row r="21" ht="94.5" customHeight="1" spans="1:9">
      <c r="A21" s="3" t="s">
        <v>175</v>
      </c>
      <c r="B21" s="4" t="s">
        <v>176</v>
      </c>
      <c r="C21" s="11" t="s">
        <v>21</v>
      </c>
      <c r="D21" s="4" t="s">
        <v>83</v>
      </c>
      <c r="E21" s="4" t="s">
        <v>177</v>
      </c>
      <c r="F21" s="4" t="s">
        <v>178</v>
      </c>
      <c r="G21" s="4" t="s">
        <v>179</v>
      </c>
      <c r="H21" s="4" t="s">
        <v>150</v>
      </c>
      <c r="I21" s="6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pane ySplit="2" topLeftCell="A11" activePane="bottomLeft" state="frozen"/>
      <selection/>
      <selection pane="bottomLeft" activeCell="I17" sqref="I17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customHeight="1" spans="1:9">
      <c r="A1" s="1" t="s">
        <v>180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181</v>
      </c>
      <c r="B3" s="4" t="s">
        <v>182</v>
      </c>
      <c r="C3" s="5" t="s">
        <v>20</v>
      </c>
      <c r="D3" s="4" t="s">
        <v>83</v>
      </c>
      <c r="E3" s="4" t="s">
        <v>183</v>
      </c>
      <c r="F3" s="4" t="s">
        <v>184</v>
      </c>
      <c r="G3" s="4" t="s">
        <v>185</v>
      </c>
      <c r="H3" s="4" t="s">
        <v>87</v>
      </c>
      <c r="I3" s="6" t="s">
        <v>88</v>
      </c>
    </row>
    <row r="4" ht="94.5" customHeight="1" spans="1:9">
      <c r="A4" s="7" t="s">
        <v>186</v>
      </c>
      <c r="B4" s="8" t="s">
        <v>187</v>
      </c>
      <c r="C4" s="12" t="s">
        <v>20</v>
      </c>
      <c r="D4" s="8" t="s">
        <v>83</v>
      </c>
      <c r="E4" s="8" t="s">
        <v>188</v>
      </c>
      <c r="F4" s="8" t="s">
        <v>189</v>
      </c>
      <c r="G4" s="8" t="s">
        <v>190</v>
      </c>
      <c r="H4" s="8" t="s">
        <v>191</v>
      </c>
      <c r="I4" s="10" t="s">
        <v>88</v>
      </c>
    </row>
    <row r="5" ht="94.5" customHeight="1" spans="1:9">
      <c r="A5" s="3" t="s">
        <v>192</v>
      </c>
      <c r="B5" s="4" t="s">
        <v>193</v>
      </c>
      <c r="C5" s="11" t="s">
        <v>21</v>
      </c>
      <c r="D5" s="4" t="s">
        <v>83</v>
      </c>
      <c r="E5" s="4" t="s">
        <v>188</v>
      </c>
      <c r="F5" s="4" t="s">
        <v>194</v>
      </c>
      <c r="G5" s="4" t="s">
        <v>195</v>
      </c>
      <c r="H5" s="4" t="s">
        <v>196</v>
      </c>
      <c r="I5" s="6" t="s">
        <v>88</v>
      </c>
    </row>
    <row r="6" ht="94.5" customHeight="1" spans="1:9">
      <c r="A6" s="7" t="s">
        <v>197</v>
      </c>
      <c r="B6" s="8" t="s">
        <v>198</v>
      </c>
      <c r="C6" s="12" t="s">
        <v>20</v>
      </c>
      <c r="D6" s="8" t="s">
        <v>83</v>
      </c>
      <c r="E6" s="8" t="s">
        <v>188</v>
      </c>
      <c r="F6" s="8" t="s">
        <v>199</v>
      </c>
      <c r="G6" s="8" t="s">
        <v>200</v>
      </c>
      <c r="H6" s="8" t="s">
        <v>201</v>
      </c>
      <c r="I6" s="10" t="s">
        <v>88</v>
      </c>
    </row>
    <row r="7" ht="94.5" customHeight="1" spans="1:9">
      <c r="A7" s="3" t="s">
        <v>202</v>
      </c>
      <c r="B7" s="4" t="s">
        <v>203</v>
      </c>
      <c r="C7" s="18" t="s">
        <v>19</v>
      </c>
      <c r="D7" s="4" t="s">
        <v>83</v>
      </c>
      <c r="E7" s="4" t="s">
        <v>204</v>
      </c>
      <c r="F7" s="4" t="s">
        <v>205</v>
      </c>
      <c r="G7" s="4" t="s">
        <v>206</v>
      </c>
      <c r="H7" s="4" t="s">
        <v>207</v>
      </c>
      <c r="I7" s="6" t="s">
        <v>88</v>
      </c>
    </row>
    <row r="8" ht="94.5" customHeight="1" spans="1:9">
      <c r="A8" s="7" t="s">
        <v>208</v>
      </c>
      <c r="B8" s="8" t="s">
        <v>209</v>
      </c>
      <c r="C8" s="9" t="s">
        <v>21</v>
      </c>
      <c r="D8" s="8" t="s">
        <v>83</v>
      </c>
      <c r="E8" s="8" t="s">
        <v>188</v>
      </c>
      <c r="F8" s="8" t="s">
        <v>210</v>
      </c>
      <c r="G8" s="8" t="s">
        <v>211</v>
      </c>
      <c r="H8" s="8" t="s">
        <v>212</v>
      </c>
      <c r="I8" s="10" t="s">
        <v>88</v>
      </c>
    </row>
    <row r="9" ht="94.5" customHeight="1" spans="1:9">
      <c r="A9" s="3" t="s">
        <v>213</v>
      </c>
      <c r="B9" s="4" t="s">
        <v>214</v>
      </c>
      <c r="C9" s="5" t="s">
        <v>20</v>
      </c>
      <c r="D9" s="4" t="s">
        <v>83</v>
      </c>
      <c r="E9" s="4" t="s">
        <v>188</v>
      </c>
      <c r="F9" s="4" t="s">
        <v>215</v>
      </c>
      <c r="G9" s="4" t="s">
        <v>216</v>
      </c>
      <c r="H9" s="4" t="s">
        <v>217</v>
      </c>
      <c r="I9" s="6" t="s">
        <v>88</v>
      </c>
    </row>
    <row r="10" ht="94.5" customHeight="1" spans="1:9">
      <c r="A10" s="7" t="s">
        <v>65</v>
      </c>
      <c r="B10" s="8" t="s">
        <v>66</v>
      </c>
      <c r="C10" s="12" t="s">
        <v>20</v>
      </c>
      <c r="D10" s="8" t="s">
        <v>83</v>
      </c>
      <c r="E10" s="8" t="s">
        <v>218</v>
      </c>
      <c r="F10" s="8" t="s">
        <v>219</v>
      </c>
      <c r="G10" s="8" t="s">
        <v>220</v>
      </c>
      <c r="H10" s="8" t="s">
        <v>67</v>
      </c>
      <c r="I10" s="19" t="s">
        <v>97</v>
      </c>
    </row>
    <row r="11" ht="94.5" customHeight="1" spans="1:9">
      <c r="A11" s="3" t="s">
        <v>221</v>
      </c>
      <c r="B11" s="4" t="s">
        <v>222</v>
      </c>
      <c r="C11" s="11" t="s">
        <v>21</v>
      </c>
      <c r="D11" s="4" t="s">
        <v>83</v>
      </c>
      <c r="E11" s="4" t="s">
        <v>223</v>
      </c>
      <c r="F11" s="4" t="s">
        <v>224</v>
      </c>
      <c r="G11" s="4" t="s">
        <v>225</v>
      </c>
      <c r="H11" s="4" t="s">
        <v>226</v>
      </c>
      <c r="I11" s="6" t="s">
        <v>88</v>
      </c>
    </row>
    <row r="12" ht="94.5" customHeight="1" spans="1:9">
      <c r="A12" s="7" t="s">
        <v>227</v>
      </c>
      <c r="B12" s="8" t="s">
        <v>228</v>
      </c>
      <c r="C12" s="16" t="s">
        <v>19</v>
      </c>
      <c r="D12" s="8" t="s">
        <v>83</v>
      </c>
      <c r="E12" s="8" t="s">
        <v>229</v>
      </c>
      <c r="F12" s="8" t="s">
        <v>230</v>
      </c>
      <c r="G12" s="8" t="s">
        <v>231</v>
      </c>
      <c r="H12" s="8" t="s">
        <v>232</v>
      </c>
      <c r="I12" s="10" t="s">
        <v>88</v>
      </c>
    </row>
    <row r="13" ht="94.5" customHeight="1" spans="1:9">
      <c r="A13" s="3" t="s">
        <v>233</v>
      </c>
      <c r="B13" s="4" t="s">
        <v>234</v>
      </c>
      <c r="C13" s="11" t="s">
        <v>21</v>
      </c>
      <c r="D13" s="4" t="s">
        <v>83</v>
      </c>
      <c r="E13" s="4" t="s">
        <v>235</v>
      </c>
      <c r="F13" s="4" t="s">
        <v>236</v>
      </c>
      <c r="G13" s="4" t="s">
        <v>237</v>
      </c>
      <c r="H13" s="4" t="s">
        <v>238</v>
      </c>
      <c r="I13" s="6" t="s">
        <v>88</v>
      </c>
    </row>
    <row r="14" ht="94.5" customHeight="1" spans="1:9">
      <c r="A14" s="7" t="s">
        <v>239</v>
      </c>
      <c r="B14" s="8" t="s">
        <v>240</v>
      </c>
      <c r="C14" s="13" t="s">
        <v>22</v>
      </c>
      <c r="D14" s="8" t="s">
        <v>83</v>
      </c>
      <c r="E14" s="8" t="s">
        <v>241</v>
      </c>
      <c r="F14" s="8" t="s">
        <v>242</v>
      </c>
      <c r="G14" s="8" t="s">
        <v>243</v>
      </c>
      <c r="H14" s="8" t="s">
        <v>244</v>
      </c>
      <c r="I14" s="10" t="s">
        <v>88</v>
      </c>
    </row>
    <row r="15" ht="94.5" customHeight="1" spans="1:9">
      <c r="A15" s="3" t="s">
        <v>245</v>
      </c>
      <c r="B15" s="4" t="s">
        <v>246</v>
      </c>
      <c r="C15" s="5" t="s">
        <v>20</v>
      </c>
      <c r="D15" s="4" t="s">
        <v>83</v>
      </c>
      <c r="E15" s="4" t="s">
        <v>247</v>
      </c>
      <c r="F15" s="4" t="s">
        <v>248</v>
      </c>
      <c r="G15" s="4" t="s">
        <v>249</v>
      </c>
      <c r="H15" s="4" t="s">
        <v>250</v>
      </c>
      <c r="I15" s="6" t="s">
        <v>88</v>
      </c>
    </row>
    <row r="16" ht="94.5" customHeight="1" spans="1:9">
      <c r="A16" s="7" t="s">
        <v>251</v>
      </c>
      <c r="B16" s="8" t="s">
        <v>252</v>
      </c>
      <c r="C16" s="16" t="s">
        <v>19</v>
      </c>
      <c r="D16" s="8" t="s">
        <v>83</v>
      </c>
      <c r="E16" s="8" t="s">
        <v>253</v>
      </c>
      <c r="F16" s="8" t="s">
        <v>254</v>
      </c>
      <c r="G16" s="8" t="s">
        <v>255</v>
      </c>
      <c r="H16" s="8" t="s">
        <v>256</v>
      </c>
      <c r="I16" s="10" t="s">
        <v>88</v>
      </c>
    </row>
    <row r="17" ht="94.5" customHeight="1" spans="1:9">
      <c r="A17" s="3" t="s">
        <v>62</v>
      </c>
      <c r="B17" s="4" t="s">
        <v>63</v>
      </c>
      <c r="C17" s="18" t="s">
        <v>19</v>
      </c>
      <c r="D17" s="4" t="s">
        <v>83</v>
      </c>
      <c r="E17" s="4" t="s">
        <v>257</v>
      </c>
      <c r="F17" s="4" t="s">
        <v>258</v>
      </c>
      <c r="G17" s="4" t="s">
        <v>259</v>
      </c>
      <c r="H17" s="4" t="s">
        <v>64</v>
      </c>
      <c r="I17" s="20" t="s">
        <v>97</v>
      </c>
    </row>
    <row r="18" ht="94.5" customHeight="1" spans="1:9">
      <c r="A18" s="7" t="s">
        <v>260</v>
      </c>
      <c r="B18" s="8" t="s">
        <v>261</v>
      </c>
      <c r="C18" s="21" t="s">
        <v>23</v>
      </c>
      <c r="D18" s="8" t="s">
        <v>83</v>
      </c>
      <c r="E18" s="8" t="s">
        <v>262</v>
      </c>
      <c r="F18" s="8" t="s">
        <v>263</v>
      </c>
      <c r="G18" s="8" t="s">
        <v>264</v>
      </c>
      <c r="H18" s="8" t="s">
        <v>265</v>
      </c>
      <c r="I18" s="10" t="s">
        <v>88</v>
      </c>
    </row>
    <row r="19" ht="94.5" customHeight="1" spans="1:9">
      <c r="A19" s="3" t="s">
        <v>266</v>
      </c>
      <c r="B19" s="4" t="s">
        <v>267</v>
      </c>
      <c r="C19" s="5" t="s">
        <v>20</v>
      </c>
      <c r="D19" s="4" t="s">
        <v>83</v>
      </c>
      <c r="E19" s="4" t="s">
        <v>188</v>
      </c>
      <c r="F19" s="4" t="s">
        <v>268</v>
      </c>
      <c r="G19" s="4" t="s">
        <v>269</v>
      </c>
      <c r="H19" s="4" t="s">
        <v>191</v>
      </c>
      <c r="I19" s="6" t="s">
        <v>88</v>
      </c>
    </row>
    <row r="20" ht="94.5" customHeight="1" spans="1:9">
      <c r="A20" s="7" t="s">
        <v>270</v>
      </c>
      <c r="B20" s="8" t="s">
        <v>271</v>
      </c>
      <c r="C20" s="16" t="s">
        <v>19</v>
      </c>
      <c r="D20" s="8" t="s">
        <v>83</v>
      </c>
      <c r="E20" s="8" t="s">
        <v>272</v>
      </c>
      <c r="F20" s="8" t="s">
        <v>273</v>
      </c>
      <c r="G20" s="8" t="s">
        <v>274</v>
      </c>
      <c r="H20" s="8" t="s">
        <v>275</v>
      </c>
      <c r="I20" s="10" t="s">
        <v>88</v>
      </c>
    </row>
    <row r="21" ht="94.5" customHeight="1" spans="1:9">
      <c r="A21" s="3" t="s">
        <v>276</v>
      </c>
      <c r="B21" s="4" t="s">
        <v>277</v>
      </c>
      <c r="C21" s="5" t="s">
        <v>20</v>
      </c>
      <c r="D21" s="4" t="s">
        <v>83</v>
      </c>
      <c r="E21" s="4" t="s">
        <v>278</v>
      </c>
      <c r="F21" s="4" t="s">
        <v>279</v>
      </c>
      <c r="G21" s="4" t="s">
        <v>280</v>
      </c>
      <c r="H21" s="4" t="s">
        <v>281</v>
      </c>
      <c r="I21" s="6" t="s">
        <v>88</v>
      </c>
    </row>
    <row r="22" ht="94.5" customHeight="1" spans="1:9">
      <c r="A22" s="7" t="s">
        <v>42</v>
      </c>
      <c r="B22" s="8" t="s">
        <v>43</v>
      </c>
      <c r="C22" s="12" t="s">
        <v>20</v>
      </c>
      <c r="D22" s="8" t="s">
        <v>83</v>
      </c>
      <c r="E22" s="8" t="s">
        <v>282</v>
      </c>
      <c r="F22" s="8" t="s">
        <v>283</v>
      </c>
      <c r="G22" s="8" t="s">
        <v>284</v>
      </c>
      <c r="H22" s="8" t="s">
        <v>44</v>
      </c>
      <c r="I22" s="15" t="s">
        <v>101</v>
      </c>
    </row>
    <row r="23" ht="94.5" customHeight="1" spans="1:9">
      <c r="A23" s="3" t="s">
        <v>285</v>
      </c>
      <c r="B23" s="4" t="s">
        <v>286</v>
      </c>
      <c r="C23" s="5" t="s">
        <v>20</v>
      </c>
      <c r="D23" s="4" t="s">
        <v>83</v>
      </c>
      <c r="E23" s="4" t="s">
        <v>188</v>
      </c>
      <c r="F23" s="4" t="s">
        <v>287</v>
      </c>
      <c r="G23" s="4" t="s">
        <v>288</v>
      </c>
      <c r="H23" s="4" t="s">
        <v>289</v>
      </c>
      <c r="I23" s="6" t="s">
        <v>88</v>
      </c>
    </row>
    <row r="24" ht="94.5" customHeight="1" spans="1:9">
      <c r="A24" s="7" t="s">
        <v>54</v>
      </c>
      <c r="B24" s="8" t="s">
        <v>55</v>
      </c>
      <c r="C24" s="9" t="s">
        <v>21</v>
      </c>
      <c r="D24" s="8" t="s">
        <v>83</v>
      </c>
      <c r="E24" s="8" t="s">
        <v>188</v>
      </c>
      <c r="F24" s="8" t="s">
        <v>290</v>
      </c>
      <c r="G24" s="8" t="s">
        <v>291</v>
      </c>
      <c r="H24" s="8" t="s">
        <v>56</v>
      </c>
      <c r="I24" s="15" t="s">
        <v>101</v>
      </c>
    </row>
    <row r="25" ht="94.5" customHeight="1" spans="1:9">
      <c r="A25" s="3" t="s">
        <v>292</v>
      </c>
      <c r="B25" s="4" t="s">
        <v>293</v>
      </c>
      <c r="C25" s="11" t="s">
        <v>21</v>
      </c>
      <c r="D25" s="4" t="s">
        <v>83</v>
      </c>
      <c r="E25" s="4" t="s">
        <v>188</v>
      </c>
      <c r="F25" s="4" t="s">
        <v>294</v>
      </c>
      <c r="G25" s="4" t="s">
        <v>295</v>
      </c>
      <c r="H25" s="4" t="s">
        <v>296</v>
      </c>
      <c r="I25" s="6" t="s">
        <v>88</v>
      </c>
    </row>
    <row r="26" ht="94.5" customHeight="1" spans="1:9">
      <c r="A26" s="7" t="s">
        <v>297</v>
      </c>
      <c r="B26" s="8" t="s">
        <v>298</v>
      </c>
      <c r="C26" s="9" t="s">
        <v>21</v>
      </c>
      <c r="D26" s="8" t="s">
        <v>83</v>
      </c>
      <c r="E26" s="8" t="s">
        <v>188</v>
      </c>
      <c r="F26" s="8" t="s">
        <v>299</v>
      </c>
      <c r="G26" s="8" t="s">
        <v>300</v>
      </c>
      <c r="H26" s="8" t="s">
        <v>301</v>
      </c>
      <c r="I26" s="10" t="s">
        <v>88</v>
      </c>
    </row>
    <row r="27" ht="94.5" customHeight="1" spans="1:9">
      <c r="A27" s="3" t="s">
        <v>302</v>
      </c>
      <c r="B27" s="4" t="s">
        <v>303</v>
      </c>
      <c r="C27" s="5" t="s">
        <v>20</v>
      </c>
      <c r="D27" s="4" t="s">
        <v>83</v>
      </c>
      <c r="E27" s="4" t="s">
        <v>304</v>
      </c>
      <c r="F27" s="4" t="s">
        <v>305</v>
      </c>
      <c r="G27" s="4" t="s">
        <v>306</v>
      </c>
      <c r="H27" s="4" t="s">
        <v>307</v>
      </c>
      <c r="I27" s="6" t="s">
        <v>88</v>
      </c>
    </row>
    <row r="28" ht="94.5" customHeight="1" spans="1:9">
      <c r="A28" s="7" t="s">
        <v>308</v>
      </c>
      <c r="B28" s="8" t="s">
        <v>309</v>
      </c>
      <c r="C28" s="9" t="s">
        <v>21</v>
      </c>
      <c r="D28" s="8" t="s">
        <v>83</v>
      </c>
      <c r="E28" s="8" t="s">
        <v>310</v>
      </c>
      <c r="F28" s="8" t="s">
        <v>311</v>
      </c>
      <c r="G28" s="8" t="s">
        <v>312</v>
      </c>
      <c r="H28" s="8" t="s">
        <v>313</v>
      </c>
      <c r="I28" s="10" t="s">
        <v>88</v>
      </c>
    </row>
    <row r="29" ht="94.5" customHeight="1" spans="1:9">
      <c r="A29" s="3" t="s">
        <v>314</v>
      </c>
      <c r="B29" s="4" t="s">
        <v>315</v>
      </c>
      <c r="C29" s="11" t="s">
        <v>21</v>
      </c>
      <c r="D29" s="4" t="s">
        <v>83</v>
      </c>
      <c r="E29" s="4" t="s">
        <v>316</v>
      </c>
      <c r="F29" s="4" t="s">
        <v>317</v>
      </c>
      <c r="G29" s="4" t="s">
        <v>318</v>
      </c>
      <c r="H29" s="4" t="s">
        <v>319</v>
      </c>
      <c r="I29" s="6" t="s">
        <v>88</v>
      </c>
    </row>
    <row r="30" ht="94.5" customHeight="1" spans="1:9">
      <c r="A30" s="7" t="s">
        <v>320</v>
      </c>
      <c r="B30" s="8" t="s">
        <v>321</v>
      </c>
      <c r="C30" s="9" t="s">
        <v>21</v>
      </c>
      <c r="D30" s="8" t="s">
        <v>83</v>
      </c>
      <c r="E30" s="8" t="s">
        <v>322</v>
      </c>
      <c r="F30" s="8" t="s">
        <v>323</v>
      </c>
      <c r="G30" s="8" t="s">
        <v>324</v>
      </c>
      <c r="H30" s="8" t="s">
        <v>325</v>
      </c>
      <c r="I30" s="10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2" topLeftCell="A7" activePane="bottomLeft" state="frozen"/>
      <selection/>
      <selection pane="bottomLeft" activeCell="I3" sqref="I3:I11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customHeight="1" spans="1:9">
      <c r="A1" s="1" t="s">
        <v>326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327</v>
      </c>
      <c r="B3" s="4" t="s">
        <v>328</v>
      </c>
      <c r="C3" s="18" t="s">
        <v>19</v>
      </c>
      <c r="D3" s="4" t="s">
        <v>83</v>
      </c>
      <c r="E3" s="4" t="s">
        <v>329</v>
      </c>
      <c r="F3" s="4" t="s">
        <v>330</v>
      </c>
      <c r="G3" s="4" t="s">
        <v>331</v>
      </c>
      <c r="H3" s="4" t="s">
        <v>331</v>
      </c>
      <c r="I3" s="6" t="s">
        <v>88</v>
      </c>
    </row>
    <row r="4" ht="94.5" customHeight="1" spans="1:9">
      <c r="A4" s="7" t="s">
        <v>332</v>
      </c>
      <c r="B4" s="8" t="s">
        <v>333</v>
      </c>
      <c r="C4" s="16" t="s">
        <v>19</v>
      </c>
      <c r="D4" s="8" t="s">
        <v>83</v>
      </c>
      <c r="E4" s="8" t="s">
        <v>334</v>
      </c>
      <c r="F4" s="8" t="s">
        <v>335</v>
      </c>
      <c r="G4" s="8" t="s">
        <v>336</v>
      </c>
      <c r="H4" s="8" t="s">
        <v>337</v>
      </c>
      <c r="I4" s="10" t="s">
        <v>88</v>
      </c>
    </row>
    <row r="5" ht="94.5" customHeight="1" spans="1:9">
      <c r="A5" s="3" t="s">
        <v>338</v>
      </c>
      <c r="B5" s="4" t="s">
        <v>339</v>
      </c>
      <c r="C5" s="18" t="s">
        <v>19</v>
      </c>
      <c r="D5" s="4" t="s">
        <v>83</v>
      </c>
      <c r="E5" s="4" t="s">
        <v>340</v>
      </c>
      <c r="F5" s="4" t="s">
        <v>341</v>
      </c>
      <c r="G5" s="4" t="s">
        <v>342</v>
      </c>
      <c r="H5" s="4" t="s">
        <v>343</v>
      </c>
      <c r="I5" s="6" t="s">
        <v>88</v>
      </c>
    </row>
    <row r="6" ht="94.5" customHeight="1" spans="1:9">
      <c r="A6" s="7" t="s">
        <v>344</v>
      </c>
      <c r="B6" s="8" t="s">
        <v>345</v>
      </c>
      <c r="C6" s="12" t="s">
        <v>20</v>
      </c>
      <c r="D6" s="8" t="s">
        <v>83</v>
      </c>
      <c r="E6" s="8" t="s">
        <v>247</v>
      </c>
      <c r="F6" s="8" t="s">
        <v>346</v>
      </c>
      <c r="G6" s="8" t="s">
        <v>347</v>
      </c>
      <c r="H6" s="8" t="s">
        <v>348</v>
      </c>
      <c r="I6" s="10" t="s">
        <v>88</v>
      </c>
    </row>
    <row r="7" ht="94.5" customHeight="1" spans="1:9">
      <c r="A7" s="3" t="s">
        <v>349</v>
      </c>
      <c r="B7" s="4" t="s">
        <v>350</v>
      </c>
      <c r="C7" s="18" t="s">
        <v>19</v>
      </c>
      <c r="D7" s="4" t="s">
        <v>83</v>
      </c>
      <c r="E7" s="4" t="s">
        <v>351</v>
      </c>
      <c r="F7" s="4" t="s">
        <v>352</v>
      </c>
      <c r="G7" s="4" t="s">
        <v>353</v>
      </c>
      <c r="H7" s="4" t="s">
        <v>354</v>
      </c>
      <c r="I7" s="6" t="s">
        <v>88</v>
      </c>
    </row>
    <row r="8" ht="94.5" customHeight="1" spans="1:9">
      <c r="A8" s="7" t="s">
        <v>355</v>
      </c>
      <c r="B8" s="8" t="s">
        <v>356</v>
      </c>
      <c r="C8" s="9" t="s">
        <v>21</v>
      </c>
      <c r="D8" s="8" t="s">
        <v>83</v>
      </c>
      <c r="E8" s="8" t="s">
        <v>357</v>
      </c>
      <c r="F8" s="8" t="s">
        <v>358</v>
      </c>
      <c r="G8" s="8" t="s">
        <v>359</v>
      </c>
      <c r="H8" s="8" t="s">
        <v>360</v>
      </c>
      <c r="I8" s="10" t="s">
        <v>88</v>
      </c>
    </row>
    <row r="9" ht="94.5" customHeight="1" spans="1:9">
      <c r="A9" s="3" t="s">
        <v>361</v>
      </c>
      <c r="B9" s="4" t="s">
        <v>362</v>
      </c>
      <c r="C9" s="5" t="s">
        <v>20</v>
      </c>
      <c r="D9" s="4" t="s">
        <v>83</v>
      </c>
      <c r="E9" s="4" t="s">
        <v>363</v>
      </c>
      <c r="F9" s="4" t="s">
        <v>364</v>
      </c>
      <c r="G9" s="4" t="s">
        <v>365</v>
      </c>
      <c r="H9" s="4" t="s">
        <v>366</v>
      </c>
      <c r="I9" s="6" t="s">
        <v>88</v>
      </c>
    </row>
    <row r="10" ht="94.5" customHeight="1" spans="1:9">
      <c r="A10" s="7" t="s">
        <v>367</v>
      </c>
      <c r="B10" s="8" t="s">
        <v>368</v>
      </c>
      <c r="C10" s="9" t="s">
        <v>21</v>
      </c>
      <c r="D10" s="8" t="s">
        <v>83</v>
      </c>
      <c r="E10" s="8" t="s">
        <v>369</v>
      </c>
      <c r="F10" s="8" t="s">
        <v>370</v>
      </c>
      <c r="G10" s="8" t="s">
        <v>371</v>
      </c>
      <c r="H10" s="8" t="s">
        <v>331</v>
      </c>
      <c r="I10" s="10" t="s">
        <v>88</v>
      </c>
    </row>
    <row r="11" ht="94.5" customHeight="1" spans="1:9">
      <c r="A11" s="3" t="s">
        <v>372</v>
      </c>
      <c r="B11" s="4" t="s">
        <v>373</v>
      </c>
      <c r="C11" s="18" t="s">
        <v>19</v>
      </c>
      <c r="D11" s="4" t="s">
        <v>83</v>
      </c>
      <c r="E11" s="4" t="s">
        <v>374</v>
      </c>
      <c r="F11" s="4" t="s">
        <v>375</v>
      </c>
      <c r="G11" s="4" t="s">
        <v>376</v>
      </c>
      <c r="H11" s="4" t="s">
        <v>377</v>
      </c>
      <c r="I11" s="6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2" topLeftCell="A3" activePane="bottomLeft" state="frozen"/>
      <selection/>
      <selection pane="bottomLeft" activeCell="I8" sqref="I8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customHeight="1" spans="1:9">
      <c r="A1" s="1" t="s">
        <v>378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379</v>
      </c>
      <c r="B3" s="4" t="s">
        <v>380</v>
      </c>
      <c r="C3" s="11" t="s">
        <v>21</v>
      </c>
      <c r="D3" s="4" t="s">
        <v>83</v>
      </c>
      <c r="E3" s="4" t="s">
        <v>381</v>
      </c>
      <c r="F3" s="4" t="s">
        <v>382</v>
      </c>
      <c r="G3" s="4" t="s">
        <v>383</v>
      </c>
      <c r="H3" s="4" t="s">
        <v>384</v>
      </c>
      <c r="I3" s="6" t="s">
        <v>88</v>
      </c>
    </row>
    <row r="4" ht="94.5" customHeight="1" spans="1:9">
      <c r="A4" s="7" t="s">
        <v>385</v>
      </c>
      <c r="B4" s="8" t="s">
        <v>386</v>
      </c>
      <c r="C4" s="9" t="s">
        <v>21</v>
      </c>
      <c r="D4" s="8" t="s">
        <v>83</v>
      </c>
      <c r="E4" s="8" t="s">
        <v>387</v>
      </c>
      <c r="F4" s="8" t="s">
        <v>388</v>
      </c>
      <c r="G4" s="8" t="s">
        <v>389</v>
      </c>
      <c r="H4" s="8" t="s">
        <v>390</v>
      </c>
      <c r="I4" s="10" t="s">
        <v>88</v>
      </c>
    </row>
    <row r="5" ht="94.5" customHeight="1" spans="1:9">
      <c r="A5" s="3" t="s">
        <v>391</v>
      </c>
      <c r="B5" s="4" t="s">
        <v>392</v>
      </c>
      <c r="C5" s="11" t="s">
        <v>21</v>
      </c>
      <c r="D5" s="4" t="s">
        <v>83</v>
      </c>
      <c r="E5" s="4" t="s">
        <v>393</v>
      </c>
      <c r="F5" s="4" t="s">
        <v>394</v>
      </c>
      <c r="G5" s="4" t="s">
        <v>395</v>
      </c>
      <c r="H5" s="4" t="s">
        <v>396</v>
      </c>
      <c r="I5" s="6" t="s">
        <v>88</v>
      </c>
    </row>
    <row r="6" ht="94.5" customHeight="1" spans="1:9">
      <c r="A6" s="7" t="s">
        <v>397</v>
      </c>
      <c r="B6" s="8" t="s">
        <v>398</v>
      </c>
      <c r="C6" s="12" t="s">
        <v>20</v>
      </c>
      <c r="D6" s="8" t="s">
        <v>83</v>
      </c>
      <c r="E6" s="8" t="s">
        <v>399</v>
      </c>
      <c r="F6" s="8" t="s">
        <v>400</v>
      </c>
      <c r="G6" s="8" t="s">
        <v>401</v>
      </c>
      <c r="H6" s="8" t="s">
        <v>402</v>
      </c>
      <c r="I6" s="10" t="s">
        <v>88</v>
      </c>
    </row>
    <row r="7" ht="94.5" customHeight="1" spans="1:9">
      <c r="A7" s="3" t="s">
        <v>403</v>
      </c>
      <c r="B7" s="4" t="s">
        <v>404</v>
      </c>
      <c r="C7" s="5" t="s">
        <v>20</v>
      </c>
      <c r="D7" s="4" t="s">
        <v>83</v>
      </c>
      <c r="E7" s="4" t="s">
        <v>188</v>
      </c>
      <c r="F7" s="4" t="s">
        <v>405</v>
      </c>
      <c r="G7" s="4" t="s">
        <v>406</v>
      </c>
      <c r="H7" s="4" t="s">
        <v>407</v>
      </c>
      <c r="I7" s="6" t="s">
        <v>88</v>
      </c>
    </row>
    <row r="8" ht="94.5" customHeight="1" spans="1:9">
      <c r="A8" s="7" t="s">
        <v>45</v>
      </c>
      <c r="B8" s="8" t="s">
        <v>46</v>
      </c>
      <c r="C8" s="12" t="s">
        <v>20</v>
      </c>
      <c r="D8" s="8" t="s">
        <v>83</v>
      </c>
      <c r="E8" s="8" t="s">
        <v>408</v>
      </c>
      <c r="F8" s="8" t="s">
        <v>409</v>
      </c>
      <c r="G8" s="8" t="s">
        <v>410</v>
      </c>
      <c r="H8" s="8" t="s">
        <v>47</v>
      </c>
      <c r="I8" s="15" t="s">
        <v>101</v>
      </c>
    </row>
    <row r="9" ht="94.5" customHeight="1" spans="1:9">
      <c r="A9" s="3" t="s">
        <v>411</v>
      </c>
      <c r="B9" s="4" t="s">
        <v>412</v>
      </c>
      <c r="C9" s="14" t="s">
        <v>22</v>
      </c>
      <c r="D9" s="4" t="s">
        <v>83</v>
      </c>
      <c r="E9" s="4" t="s">
        <v>204</v>
      </c>
      <c r="F9" s="4" t="s">
        <v>413</v>
      </c>
      <c r="G9" s="4" t="s">
        <v>414</v>
      </c>
      <c r="H9" s="4" t="s">
        <v>415</v>
      </c>
      <c r="I9" s="6" t="s">
        <v>88</v>
      </c>
    </row>
    <row r="10" ht="94.5" customHeight="1" spans="1:9">
      <c r="A10" s="7" t="s">
        <v>39</v>
      </c>
      <c r="B10" s="8" t="s">
        <v>40</v>
      </c>
      <c r="C10" s="16" t="s">
        <v>19</v>
      </c>
      <c r="D10" s="8" t="s">
        <v>83</v>
      </c>
      <c r="E10" s="8" t="s">
        <v>416</v>
      </c>
      <c r="F10" s="8" t="s">
        <v>417</v>
      </c>
      <c r="G10" s="8" t="s">
        <v>418</v>
      </c>
      <c r="H10" s="8" t="s">
        <v>41</v>
      </c>
      <c r="I10" s="15" t="s">
        <v>101</v>
      </c>
    </row>
    <row r="11" ht="94.5" customHeight="1" spans="1:9">
      <c r="A11" s="3" t="s">
        <v>419</v>
      </c>
      <c r="B11" s="4" t="s">
        <v>420</v>
      </c>
      <c r="C11" s="14" t="s">
        <v>22</v>
      </c>
      <c r="D11" s="4" t="s">
        <v>83</v>
      </c>
      <c r="E11" s="4" t="s">
        <v>421</v>
      </c>
      <c r="F11" s="4" t="s">
        <v>422</v>
      </c>
      <c r="G11" s="4" t="s">
        <v>423</v>
      </c>
      <c r="H11" s="4" t="s">
        <v>424</v>
      </c>
      <c r="I11" s="6" t="s">
        <v>88</v>
      </c>
    </row>
    <row r="12" ht="94.5" customHeight="1" spans="1:9">
      <c r="A12" s="7" t="s">
        <v>425</v>
      </c>
      <c r="B12" s="8" t="s">
        <v>426</v>
      </c>
      <c r="C12" s="13" t="s">
        <v>22</v>
      </c>
      <c r="D12" s="8" t="s">
        <v>83</v>
      </c>
      <c r="E12" s="8" t="s">
        <v>427</v>
      </c>
      <c r="F12" s="8" t="s">
        <v>428</v>
      </c>
      <c r="G12" s="8" t="s">
        <v>429</v>
      </c>
      <c r="H12" s="8" t="s">
        <v>430</v>
      </c>
      <c r="I12" s="10" t="s">
        <v>88</v>
      </c>
    </row>
    <row r="13" ht="94.5" customHeight="1" spans="1:9">
      <c r="A13" s="3" t="s">
        <v>431</v>
      </c>
      <c r="B13" s="4" t="s">
        <v>432</v>
      </c>
      <c r="C13" s="5" t="s">
        <v>20</v>
      </c>
      <c r="D13" s="4" t="s">
        <v>83</v>
      </c>
      <c r="E13" s="4" t="s">
        <v>433</v>
      </c>
      <c r="F13" s="4" t="s">
        <v>434</v>
      </c>
      <c r="G13" s="4" t="s">
        <v>435</v>
      </c>
      <c r="H13" s="4" t="s">
        <v>436</v>
      </c>
      <c r="I13" s="6" t="s">
        <v>88</v>
      </c>
    </row>
    <row r="14" ht="94.5" customHeight="1" spans="1:9">
      <c r="A14" s="7" t="s">
        <v>437</v>
      </c>
      <c r="B14" s="8" t="s">
        <v>438</v>
      </c>
      <c r="C14" s="12" t="s">
        <v>20</v>
      </c>
      <c r="D14" s="8" t="s">
        <v>83</v>
      </c>
      <c r="E14" s="8" t="s">
        <v>439</v>
      </c>
      <c r="F14" s="8" t="s">
        <v>440</v>
      </c>
      <c r="G14" s="8" t="s">
        <v>441</v>
      </c>
      <c r="H14" s="8" t="s">
        <v>442</v>
      </c>
      <c r="I14" s="10" t="s">
        <v>88</v>
      </c>
    </row>
    <row r="15" ht="94.5" customHeight="1" spans="1:9">
      <c r="A15" s="3" t="s">
        <v>443</v>
      </c>
      <c r="B15" s="4" t="s">
        <v>444</v>
      </c>
      <c r="C15" s="17" t="s">
        <v>23</v>
      </c>
      <c r="D15" s="4" t="s">
        <v>83</v>
      </c>
      <c r="E15" s="4" t="s">
        <v>445</v>
      </c>
      <c r="F15" s="4" t="s">
        <v>446</v>
      </c>
      <c r="G15" s="4" t="s">
        <v>447</v>
      </c>
      <c r="H15" s="4" t="s">
        <v>448</v>
      </c>
      <c r="I15" s="6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I12" sqref="I3:I12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35.625" customWidth="1"/>
    <col min="9" max="9" width="9.1" customWidth="1"/>
  </cols>
  <sheetData>
    <row r="1" ht="21" customHeight="1" spans="1:9">
      <c r="A1" s="1" t="s">
        <v>449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450</v>
      </c>
      <c r="B3" s="4" t="s">
        <v>451</v>
      </c>
      <c r="C3" s="11" t="s">
        <v>21</v>
      </c>
      <c r="D3" s="4" t="s">
        <v>83</v>
      </c>
      <c r="E3" s="4" t="s">
        <v>452</v>
      </c>
      <c r="F3" s="4" t="s">
        <v>453</v>
      </c>
      <c r="G3" s="4" t="s">
        <v>454</v>
      </c>
      <c r="H3" s="4" t="s">
        <v>455</v>
      </c>
      <c r="I3" s="6" t="s">
        <v>88</v>
      </c>
    </row>
    <row r="4" ht="94.5" customHeight="1" spans="1:9">
      <c r="A4" s="7" t="s">
        <v>456</v>
      </c>
      <c r="B4" s="8" t="s">
        <v>457</v>
      </c>
      <c r="C4" s="9" t="s">
        <v>21</v>
      </c>
      <c r="D4" s="8" t="s">
        <v>83</v>
      </c>
      <c r="E4" s="8" t="s">
        <v>458</v>
      </c>
      <c r="F4" s="8" t="s">
        <v>459</v>
      </c>
      <c r="G4" s="8" t="s">
        <v>460</v>
      </c>
      <c r="H4" s="8" t="s">
        <v>461</v>
      </c>
      <c r="I4" s="10" t="s">
        <v>88</v>
      </c>
    </row>
    <row r="5" ht="94.5" customHeight="1" spans="1:9">
      <c r="A5" s="3" t="s">
        <v>462</v>
      </c>
      <c r="B5" s="4" t="s">
        <v>463</v>
      </c>
      <c r="C5" s="11" t="s">
        <v>21</v>
      </c>
      <c r="D5" s="4" t="s">
        <v>83</v>
      </c>
      <c r="E5" s="4" t="s">
        <v>464</v>
      </c>
      <c r="F5" s="4" t="s">
        <v>465</v>
      </c>
      <c r="G5" s="4" t="s">
        <v>466</v>
      </c>
      <c r="H5" s="4" t="s">
        <v>467</v>
      </c>
      <c r="I5" s="6" t="s">
        <v>88</v>
      </c>
    </row>
    <row r="6" ht="94.5" customHeight="1" spans="1:9">
      <c r="A6" s="7" t="s">
        <v>468</v>
      </c>
      <c r="B6" s="8" t="s">
        <v>469</v>
      </c>
      <c r="C6" s="12" t="s">
        <v>20</v>
      </c>
      <c r="D6" s="8" t="s">
        <v>83</v>
      </c>
      <c r="E6" s="8" t="s">
        <v>470</v>
      </c>
      <c r="F6" s="8" t="s">
        <v>471</v>
      </c>
      <c r="G6" s="8" t="s">
        <v>472</v>
      </c>
      <c r="H6" s="8" t="s">
        <v>473</v>
      </c>
      <c r="I6" s="10" t="s">
        <v>88</v>
      </c>
    </row>
    <row r="7" ht="94.5" customHeight="1" spans="1:9">
      <c r="A7" s="3" t="s">
        <v>474</v>
      </c>
      <c r="B7" s="4" t="s">
        <v>475</v>
      </c>
      <c r="C7" s="5" t="s">
        <v>20</v>
      </c>
      <c r="D7" s="4" t="s">
        <v>83</v>
      </c>
      <c r="E7" s="4" t="s">
        <v>476</v>
      </c>
      <c r="F7" s="4" t="s">
        <v>477</v>
      </c>
      <c r="G7" s="4" t="s">
        <v>478</v>
      </c>
      <c r="H7" s="4" t="s">
        <v>479</v>
      </c>
      <c r="I7" s="6" t="s">
        <v>88</v>
      </c>
    </row>
    <row r="8" ht="94.5" customHeight="1" spans="1:9">
      <c r="A8" s="7" t="s">
        <v>480</v>
      </c>
      <c r="B8" s="8" t="s">
        <v>481</v>
      </c>
      <c r="C8" s="9" t="s">
        <v>21</v>
      </c>
      <c r="D8" s="8" t="s">
        <v>83</v>
      </c>
      <c r="E8" s="8" t="s">
        <v>482</v>
      </c>
      <c r="F8" s="8" t="s">
        <v>483</v>
      </c>
      <c r="G8" s="8" t="s">
        <v>484</v>
      </c>
      <c r="H8" s="8" t="s">
        <v>485</v>
      </c>
      <c r="I8" s="10" t="s">
        <v>88</v>
      </c>
    </row>
    <row r="9" ht="94.5" customHeight="1" spans="1:9">
      <c r="A9" s="3" t="s">
        <v>486</v>
      </c>
      <c r="B9" s="4" t="s">
        <v>487</v>
      </c>
      <c r="C9" s="11" t="s">
        <v>21</v>
      </c>
      <c r="D9" s="4" t="s">
        <v>83</v>
      </c>
      <c r="E9" s="4" t="s">
        <v>488</v>
      </c>
      <c r="F9" s="4" t="s">
        <v>489</v>
      </c>
      <c r="G9" s="4" t="s">
        <v>490</v>
      </c>
      <c r="H9" s="4" t="s">
        <v>87</v>
      </c>
      <c r="I9" s="6" t="s">
        <v>88</v>
      </c>
    </row>
    <row r="10" ht="94.5" customHeight="1" spans="1:9">
      <c r="A10" s="7" t="s">
        <v>491</v>
      </c>
      <c r="B10" s="8" t="s">
        <v>492</v>
      </c>
      <c r="C10" s="13" t="s">
        <v>22</v>
      </c>
      <c r="D10" s="8" t="s">
        <v>83</v>
      </c>
      <c r="E10" s="8" t="s">
        <v>493</v>
      </c>
      <c r="F10" s="8" t="s">
        <v>494</v>
      </c>
      <c r="G10" s="8" t="s">
        <v>495</v>
      </c>
      <c r="H10" s="8" t="s">
        <v>87</v>
      </c>
      <c r="I10" s="10" t="s">
        <v>88</v>
      </c>
    </row>
    <row r="11" ht="94.5" customHeight="1" spans="1:9">
      <c r="A11" s="3" t="s">
        <v>496</v>
      </c>
      <c r="B11" s="4" t="s">
        <v>497</v>
      </c>
      <c r="C11" s="14" t="s">
        <v>22</v>
      </c>
      <c r="D11" s="4" t="s">
        <v>83</v>
      </c>
      <c r="E11" s="4" t="s">
        <v>498</v>
      </c>
      <c r="F11" s="4" t="s">
        <v>499</v>
      </c>
      <c r="G11" s="4" t="s">
        <v>500</v>
      </c>
      <c r="H11" s="4" t="s">
        <v>501</v>
      </c>
      <c r="I11" s="6" t="s">
        <v>88</v>
      </c>
    </row>
    <row r="12" ht="94.5" customHeight="1" spans="1:9">
      <c r="A12" s="7" t="s">
        <v>502</v>
      </c>
      <c r="B12" s="8" t="s">
        <v>503</v>
      </c>
      <c r="C12" s="9" t="s">
        <v>21</v>
      </c>
      <c r="D12" s="8" t="s">
        <v>83</v>
      </c>
      <c r="E12" s="8" t="s">
        <v>504</v>
      </c>
      <c r="F12" s="8" t="s">
        <v>505</v>
      </c>
      <c r="G12" s="8" t="s">
        <v>506</v>
      </c>
      <c r="H12" s="8" t="s">
        <v>87</v>
      </c>
      <c r="I12" s="10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6" activePane="bottomLeft" state="frozen"/>
      <selection/>
      <selection pane="bottomLeft" activeCell="I12" sqref="I3:I12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21" customHeight="1" spans="1:9">
      <c r="A1" s="1" t="s">
        <v>507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508</v>
      </c>
      <c r="B3" s="4" t="s">
        <v>509</v>
      </c>
      <c r="C3" s="11" t="s">
        <v>21</v>
      </c>
      <c r="D3" s="4" t="s">
        <v>83</v>
      </c>
      <c r="E3" s="4" t="s">
        <v>510</v>
      </c>
      <c r="F3" s="4" t="s">
        <v>511</v>
      </c>
      <c r="G3" s="4" t="s">
        <v>512</v>
      </c>
      <c r="H3" s="4" t="s">
        <v>513</v>
      </c>
      <c r="I3" s="6" t="s">
        <v>88</v>
      </c>
    </row>
    <row r="4" ht="94.5" customHeight="1" spans="1:9">
      <c r="A4" s="7" t="s">
        <v>514</v>
      </c>
      <c r="B4" s="8" t="s">
        <v>515</v>
      </c>
      <c r="C4" s="9" t="s">
        <v>21</v>
      </c>
      <c r="D4" s="8" t="s">
        <v>83</v>
      </c>
      <c r="E4" s="8" t="s">
        <v>516</v>
      </c>
      <c r="F4" s="8" t="s">
        <v>517</v>
      </c>
      <c r="G4" s="8" t="s">
        <v>518</v>
      </c>
      <c r="H4" s="8" t="s">
        <v>519</v>
      </c>
      <c r="I4" s="10" t="s">
        <v>88</v>
      </c>
    </row>
    <row r="5" ht="94.5" customHeight="1" spans="1:9">
      <c r="A5" s="3" t="s">
        <v>520</v>
      </c>
      <c r="B5" s="4" t="s">
        <v>521</v>
      </c>
      <c r="C5" s="11" t="s">
        <v>21</v>
      </c>
      <c r="D5" s="4" t="s">
        <v>83</v>
      </c>
      <c r="E5" s="4" t="s">
        <v>522</v>
      </c>
      <c r="F5" s="4" t="s">
        <v>523</v>
      </c>
      <c r="G5" s="4" t="s">
        <v>524</v>
      </c>
      <c r="H5" s="4" t="s">
        <v>525</v>
      </c>
      <c r="I5" s="6" t="s">
        <v>88</v>
      </c>
    </row>
    <row r="6" ht="94.5" customHeight="1" spans="1:9">
      <c r="A6" s="7" t="s">
        <v>526</v>
      </c>
      <c r="B6" s="8" t="s">
        <v>527</v>
      </c>
      <c r="C6" s="12" t="s">
        <v>20</v>
      </c>
      <c r="D6" s="8" t="s">
        <v>83</v>
      </c>
      <c r="E6" s="8" t="s">
        <v>528</v>
      </c>
      <c r="F6" s="8" t="s">
        <v>529</v>
      </c>
      <c r="G6" s="8" t="s">
        <v>530</v>
      </c>
      <c r="H6" s="8" t="s">
        <v>531</v>
      </c>
      <c r="I6" s="10" t="s">
        <v>88</v>
      </c>
    </row>
    <row r="7" ht="102" customHeight="1" spans="1:9">
      <c r="A7" s="3" t="s">
        <v>532</v>
      </c>
      <c r="B7" s="4" t="s">
        <v>533</v>
      </c>
      <c r="C7" s="5" t="s">
        <v>20</v>
      </c>
      <c r="D7" s="4" t="s">
        <v>83</v>
      </c>
      <c r="E7" s="4" t="s">
        <v>534</v>
      </c>
      <c r="F7" s="4" t="s">
        <v>535</v>
      </c>
      <c r="G7" s="4" t="s">
        <v>536</v>
      </c>
      <c r="H7" s="8" t="s">
        <v>537</v>
      </c>
      <c r="I7" s="6" t="s">
        <v>88</v>
      </c>
    </row>
    <row r="8" ht="94.5" customHeight="1" spans="1:9">
      <c r="A8" s="7" t="s">
        <v>538</v>
      </c>
      <c r="B8" s="8" t="s">
        <v>539</v>
      </c>
      <c r="C8" s="12" t="s">
        <v>20</v>
      </c>
      <c r="D8" s="8" t="s">
        <v>83</v>
      </c>
      <c r="E8" s="8" t="s">
        <v>540</v>
      </c>
      <c r="F8" s="8" t="s">
        <v>541</v>
      </c>
      <c r="G8" s="8" t="s">
        <v>542</v>
      </c>
      <c r="H8" s="8" t="s">
        <v>543</v>
      </c>
      <c r="I8" s="10" t="s">
        <v>88</v>
      </c>
    </row>
    <row r="9" ht="94.5" customHeight="1" spans="1:9">
      <c r="A9" s="3" t="s">
        <v>544</v>
      </c>
      <c r="B9" s="4" t="s">
        <v>545</v>
      </c>
      <c r="C9" s="5" t="s">
        <v>20</v>
      </c>
      <c r="D9" s="4" t="s">
        <v>83</v>
      </c>
      <c r="E9" s="4" t="s">
        <v>546</v>
      </c>
      <c r="F9" s="4" t="s">
        <v>547</v>
      </c>
      <c r="G9" s="4" t="s">
        <v>548</v>
      </c>
      <c r="H9" s="4" t="s">
        <v>549</v>
      </c>
      <c r="I9" s="6" t="s">
        <v>88</v>
      </c>
    </row>
    <row r="10" ht="94.5" customHeight="1" spans="1:9">
      <c r="A10" s="7" t="s">
        <v>550</v>
      </c>
      <c r="B10" s="8" t="s">
        <v>551</v>
      </c>
      <c r="C10" s="9" t="s">
        <v>21</v>
      </c>
      <c r="D10" s="8" t="s">
        <v>83</v>
      </c>
      <c r="E10" s="8" t="s">
        <v>552</v>
      </c>
      <c r="F10" s="8" t="s">
        <v>553</v>
      </c>
      <c r="G10" s="8" t="s">
        <v>554</v>
      </c>
      <c r="H10" s="8" t="s">
        <v>555</v>
      </c>
      <c r="I10" s="10" t="s">
        <v>88</v>
      </c>
    </row>
    <row r="11" ht="94.5" customHeight="1" spans="1:9">
      <c r="A11" s="3" t="s">
        <v>556</v>
      </c>
      <c r="B11" s="4" t="s">
        <v>557</v>
      </c>
      <c r="C11" s="5" t="s">
        <v>20</v>
      </c>
      <c r="D11" s="4" t="s">
        <v>83</v>
      </c>
      <c r="E11" s="4" t="s">
        <v>558</v>
      </c>
      <c r="F11" s="4" t="s">
        <v>559</v>
      </c>
      <c r="G11" s="4" t="s">
        <v>560</v>
      </c>
      <c r="H11" s="4" t="s">
        <v>561</v>
      </c>
      <c r="I11" s="6" t="s">
        <v>88</v>
      </c>
    </row>
    <row r="12" ht="94.5" customHeight="1" spans="1:9">
      <c r="A12" s="7" t="s">
        <v>562</v>
      </c>
      <c r="B12" s="8" t="s">
        <v>563</v>
      </c>
      <c r="C12" s="9" t="s">
        <v>21</v>
      </c>
      <c r="D12" s="8" t="s">
        <v>83</v>
      </c>
      <c r="E12" s="8" t="s">
        <v>564</v>
      </c>
      <c r="F12" s="8" t="s">
        <v>565</v>
      </c>
      <c r="G12" s="8" t="s">
        <v>566</v>
      </c>
      <c r="H12" s="8" t="s">
        <v>567</v>
      </c>
      <c r="I12" s="10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pane ySplit="2" topLeftCell="A3" activePane="bottomLeft" state="frozen"/>
      <selection/>
      <selection pane="bottomLeft" activeCell="I3" sqref="I3:I10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29" customWidth="1"/>
    <col min="9" max="9" width="9.1" customWidth="1"/>
  </cols>
  <sheetData>
    <row r="1" ht="21" customHeight="1" spans="1:9">
      <c r="A1" s="1" t="s">
        <v>568</v>
      </c>
    </row>
    <row r="2" spans="1:9">
      <c r="A2" s="2" t="s">
        <v>34</v>
      </c>
      <c r="B2" s="2" t="s">
        <v>37</v>
      </c>
      <c r="C2" s="2" t="s">
        <v>36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</row>
    <row r="3" ht="94.5" customHeight="1" spans="1:9">
      <c r="A3" s="3" t="s">
        <v>569</v>
      </c>
      <c r="B3" s="4" t="s">
        <v>570</v>
      </c>
      <c r="C3" s="5" t="s">
        <v>20</v>
      </c>
      <c r="D3" s="4" t="s">
        <v>83</v>
      </c>
      <c r="E3" s="4" t="s">
        <v>571</v>
      </c>
      <c r="F3" s="4" t="s">
        <v>572</v>
      </c>
      <c r="G3" s="4" t="s">
        <v>573</v>
      </c>
      <c r="H3" s="4" t="s">
        <v>574</v>
      </c>
      <c r="I3" s="6" t="s">
        <v>88</v>
      </c>
    </row>
    <row r="4" ht="94.5" customHeight="1" spans="1:9">
      <c r="A4" s="7" t="s">
        <v>575</v>
      </c>
      <c r="B4" s="8" t="s">
        <v>576</v>
      </c>
      <c r="C4" s="9" t="s">
        <v>21</v>
      </c>
      <c r="D4" s="8" t="s">
        <v>83</v>
      </c>
      <c r="E4" s="8" t="s">
        <v>577</v>
      </c>
      <c r="F4" s="8" t="s">
        <v>578</v>
      </c>
      <c r="G4" s="8" t="s">
        <v>579</v>
      </c>
      <c r="H4" s="8" t="s">
        <v>580</v>
      </c>
      <c r="I4" s="10" t="s">
        <v>88</v>
      </c>
    </row>
    <row r="5" ht="94.5" customHeight="1" spans="1:9">
      <c r="A5" s="3" t="s">
        <v>581</v>
      </c>
      <c r="B5" s="4" t="s">
        <v>582</v>
      </c>
      <c r="C5" s="11" t="s">
        <v>21</v>
      </c>
      <c r="D5" s="4" t="s">
        <v>83</v>
      </c>
      <c r="E5" s="4" t="s">
        <v>583</v>
      </c>
      <c r="F5" s="4" t="s">
        <v>584</v>
      </c>
      <c r="G5" s="4" t="s">
        <v>585</v>
      </c>
      <c r="H5" s="4" t="s">
        <v>586</v>
      </c>
      <c r="I5" s="6" t="s">
        <v>88</v>
      </c>
    </row>
    <row r="6" ht="94.5" customHeight="1" spans="1:9">
      <c r="A6" s="7" t="s">
        <v>587</v>
      </c>
      <c r="B6" s="8" t="s">
        <v>588</v>
      </c>
      <c r="C6" s="12" t="s">
        <v>20</v>
      </c>
      <c r="D6" s="8" t="s">
        <v>83</v>
      </c>
      <c r="E6" s="8" t="s">
        <v>589</v>
      </c>
      <c r="F6" s="8" t="s">
        <v>590</v>
      </c>
      <c r="G6" s="8" t="s">
        <v>591</v>
      </c>
      <c r="H6" s="8" t="s">
        <v>592</v>
      </c>
      <c r="I6" s="10" t="s">
        <v>88</v>
      </c>
    </row>
    <row r="7" ht="94.5" customHeight="1" spans="1:9">
      <c r="A7" s="3" t="s">
        <v>593</v>
      </c>
      <c r="B7" s="4" t="s">
        <v>594</v>
      </c>
      <c r="C7" s="11" t="s">
        <v>21</v>
      </c>
      <c r="D7" s="4" t="s">
        <v>83</v>
      </c>
      <c r="E7" s="4" t="s">
        <v>595</v>
      </c>
      <c r="F7" s="4" t="s">
        <v>596</v>
      </c>
      <c r="G7" s="4" t="s">
        <v>597</v>
      </c>
      <c r="H7" s="4" t="s">
        <v>598</v>
      </c>
      <c r="I7" s="6" t="s">
        <v>88</v>
      </c>
    </row>
    <row r="8" ht="94.5" customHeight="1" spans="1:9">
      <c r="A8" s="7" t="s">
        <v>599</v>
      </c>
      <c r="B8" s="8" t="s">
        <v>600</v>
      </c>
      <c r="C8" s="12" t="s">
        <v>20</v>
      </c>
      <c r="D8" s="8" t="s">
        <v>83</v>
      </c>
      <c r="E8" s="8" t="s">
        <v>601</v>
      </c>
      <c r="F8" s="8" t="s">
        <v>602</v>
      </c>
      <c r="G8" s="8" t="s">
        <v>603</v>
      </c>
      <c r="H8" s="8" t="s">
        <v>604</v>
      </c>
      <c r="I8" s="10" t="s">
        <v>88</v>
      </c>
    </row>
    <row r="9" ht="94.5" customHeight="1" spans="1:9">
      <c r="A9" s="3" t="s">
        <v>605</v>
      </c>
      <c r="B9" s="4" t="s">
        <v>606</v>
      </c>
      <c r="C9" s="11" t="s">
        <v>21</v>
      </c>
      <c r="D9" s="4" t="s">
        <v>83</v>
      </c>
      <c r="E9" s="4" t="s">
        <v>607</v>
      </c>
      <c r="F9" s="4" t="s">
        <v>608</v>
      </c>
      <c r="G9" s="4" t="s">
        <v>609</v>
      </c>
      <c r="H9" s="4" t="s">
        <v>610</v>
      </c>
      <c r="I9" s="6" t="s">
        <v>88</v>
      </c>
    </row>
    <row r="10" ht="94.5" customHeight="1" spans="1:9">
      <c r="A10" s="7" t="s">
        <v>611</v>
      </c>
      <c r="B10" s="8" t="s">
        <v>612</v>
      </c>
      <c r="C10" s="13" t="s">
        <v>22</v>
      </c>
      <c r="D10" s="8" t="s">
        <v>83</v>
      </c>
      <c r="E10" s="8" t="s">
        <v>613</v>
      </c>
      <c r="F10" s="8" t="s">
        <v>614</v>
      </c>
      <c r="G10" s="8" t="s">
        <v>615</v>
      </c>
      <c r="H10" s="8" t="s">
        <v>616</v>
      </c>
      <c r="I10" s="10" t="s">
        <v>88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用例统计</vt:lpstr>
      <vt:lpstr>优惠券列表与筛选</vt:lpstr>
      <vt:lpstr>新建与编辑优惠券</vt:lpstr>
      <vt:lpstr>状态流转与操作</vt:lpstr>
      <vt:lpstr>异常场景与边界测试</vt:lpstr>
      <vt:lpstr>H5端前端可见性</vt:lpstr>
      <vt:lpstr>叠加计算</vt:lpstr>
      <vt:lpstr>退款回退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2026-07-23T02:40:00Z</dcterms:created>
  <dcterms:modified xsi:type="dcterms:W3CDTF">2026-07-23T08:12:12Z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4BD02395EC2442DAA0C09FD509E13B95_12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